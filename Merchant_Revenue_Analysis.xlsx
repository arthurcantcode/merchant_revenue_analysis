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uário PC\Downloads\"/>
    </mc:Choice>
  </mc:AlternateContent>
  <xr:revisionPtr revIDLastSave="0" documentId="13_ncr:1_{1B137E05-2277-41D9-8E04-A56393C285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ject Overview" sheetId="12" r:id="rId1"/>
    <sheet name="Raw_Data_Analysis" sheetId="2" r:id="rId2"/>
    <sheet name="Clean Data Summary" sheetId="11" r:id="rId3"/>
    <sheet name="Clean Data Only" sheetId="8" state="hidden" r:id="rId4"/>
  </sheets>
  <definedNames>
    <definedName name="_xlnm._FilterDatabase" localSheetId="3" hidden="1">'Clean Data Only'!$A$1:$I$1</definedName>
    <definedName name="_xlnm._FilterDatabase" localSheetId="1" hidden="1">Raw_Data_Analysis!$A$2:$R$631</definedName>
  </definedNames>
  <calcPr calcId="191029"/>
  <pivotCaches>
    <pivotCache cacheId="2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8" l="1"/>
  <c r="H4" i="8"/>
  <c r="G4" i="8"/>
  <c r="N9" i="2"/>
  <c r="G4" i="2" l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3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4" i="2"/>
  <c r="H5" i="2"/>
  <c r="H6" i="2"/>
  <c r="H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3" i="2"/>
  <c r="R142" i="2" l="1"/>
  <c r="R130" i="2"/>
  <c r="R118" i="2"/>
  <c r="R106" i="2"/>
  <c r="R94" i="2"/>
  <c r="R82" i="2"/>
  <c r="R70" i="2"/>
  <c r="R58" i="2"/>
  <c r="R46" i="2"/>
  <c r="R34" i="2"/>
  <c r="R22" i="2"/>
  <c r="R10" i="2"/>
  <c r="R618" i="2"/>
  <c r="R594" i="2"/>
  <c r="R546" i="2"/>
  <c r="R510" i="2"/>
  <c r="R474" i="2"/>
  <c r="R450" i="2"/>
  <c r="R426" i="2"/>
  <c r="R402" i="2"/>
  <c r="R378" i="2"/>
  <c r="R354" i="2"/>
  <c r="R330" i="2"/>
  <c r="R306" i="2"/>
  <c r="R282" i="2"/>
  <c r="R258" i="2"/>
  <c r="R222" i="2"/>
  <c r="R186" i="2"/>
  <c r="R162" i="2"/>
  <c r="R138" i="2"/>
  <c r="R114" i="2"/>
  <c r="R90" i="2"/>
  <c r="R66" i="2"/>
  <c r="R42" i="2"/>
  <c r="R18" i="2"/>
  <c r="R606" i="2"/>
  <c r="R570" i="2"/>
  <c r="R534" i="2"/>
  <c r="R498" i="2"/>
  <c r="R462" i="2"/>
  <c r="R438" i="2"/>
  <c r="R414" i="2"/>
  <c r="R390" i="2"/>
  <c r="R366" i="2"/>
  <c r="R342" i="2"/>
  <c r="R318" i="2"/>
  <c r="R294" i="2"/>
  <c r="R270" i="2"/>
  <c r="R234" i="2"/>
  <c r="R210" i="2"/>
  <c r="R198" i="2"/>
  <c r="R150" i="2"/>
  <c r="R126" i="2"/>
  <c r="R102" i="2"/>
  <c r="R78" i="2"/>
  <c r="R54" i="2"/>
  <c r="R30" i="2"/>
  <c r="R6" i="2"/>
  <c r="R631" i="2"/>
  <c r="R582" i="2"/>
  <c r="R522" i="2"/>
  <c r="R486" i="2"/>
  <c r="R616" i="2"/>
  <c r="R604" i="2"/>
  <c r="R592" i="2"/>
  <c r="R580" i="2"/>
  <c r="R568" i="2"/>
  <c r="R556" i="2"/>
  <c r="R544" i="2"/>
  <c r="R532" i="2"/>
  <c r="R520" i="2"/>
  <c r="R508" i="2"/>
  <c r="R496" i="2"/>
  <c r="R484" i="2"/>
  <c r="R472" i="2"/>
  <c r="R460" i="2"/>
  <c r="R448" i="2"/>
  <c r="R436" i="2"/>
  <c r="R424" i="2"/>
  <c r="R412" i="2"/>
  <c r="R400" i="2"/>
  <c r="R388" i="2"/>
  <c r="R376" i="2"/>
  <c r="R364" i="2"/>
  <c r="R352" i="2"/>
  <c r="R340" i="2"/>
  <c r="R328" i="2"/>
  <c r="R316" i="2"/>
  <c r="R304" i="2"/>
  <c r="R292" i="2"/>
  <c r="R280" i="2"/>
  <c r="R268" i="2"/>
  <c r="R256" i="2"/>
  <c r="R244" i="2"/>
  <c r="R232" i="2"/>
  <c r="R220" i="2"/>
  <c r="R208" i="2"/>
  <c r="R196" i="2"/>
  <c r="R184" i="2"/>
  <c r="R172" i="2"/>
  <c r="R160" i="2"/>
  <c r="R136" i="2"/>
  <c r="R124" i="2"/>
  <c r="R112" i="2"/>
  <c r="R100" i="2"/>
  <c r="R88" i="2"/>
  <c r="R76" i="2"/>
  <c r="R64" i="2"/>
  <c r="R52" i="2"/>
  <c r="R28" i="2"/>
  <c r="R16" i="2"/>
  <c r="R4" i="2"/>
  <c r="R558" i="2"/>
  <c r="R605" i="2"/>
  <c r="R545" i="2"/>
  <c r="R485" i="2"/>
  <c r="R413" i="2"/>
  <c r="R353" i="2"/>
  <c r="R305" i="2"/>
  <c r="R233" i="2"/>
  <c r="R161" i="2"/>
  <c r="R113" i="2"/>
  <c r="R65" i="2"/>
  <c r="R17" i="2"/>
  <c r="R409" i="2"/>
  <c r="R581" i="2"/>
  <c r="R533" i="2"/>
  <c r="R461" i="2"/>
  <c r="R377" i="2"/>
  <c r="R317" i="2"/>
  <c r="R257" i="2"/>
  <c r="R221" i="2"/>
  <c r="R125" i="2"/>
  <c r="R77" i="2"/>
  <c r="R53" i="2"/>
  <c r="R445" i="2"/>
  <c r="R617" i="2"/>
  <c r="R557" i="2"/>
  <c r="R497" i="2"/>
  <c r="R437" i="2"/>
  <c r="R389" i="2"/>
  <c r="R341" i="2"/>
  <c r="R269" i="2"/>
  <c r="R197" i="2"/>
  <c r="R41" i="2"/>
  <c r="R541" i="2"/>
  <c r="R322" i="2"/>
  <c r="R310" i="2"/>
  <c r="R298" i="2"/>
  <c r="R286" i="2"/>
  <c r="R274" i="2"/>
  <c r="R262" i="2"/>
  <c r="R250" i="2"/>
  <c r="R238" i="2"/>
  <c r="R226" i="2"/>
  <c r="R214" i="2"/>
  <c r="R202" i="2"/>
  <c r="R190" i="2"/>
  <c r="R178" i="2"/>
  <c r="R166" i="2"/>
  <c r="R154" i="2"/>
  <c r="R593" i="2"/>
  <c r="R521" i="2"/>
  <c r="R473" i="2"/>
  <c r="R425" i="2"/>
  <c r="R365" i="2"/>
  <c r="R293" i="2"/>
  <c r="R185" i="2"/>
  <c r="R137" i="2"/>
  <c r="R101" i="2"/>
  <c r="R5" i="2"/>
  <c r="R630" i="2"/>
  <c r="R569" i="2"/>
  <c r="R509" i="2"/>
  <c r="R449" i="2"/>
  <c r="R401" i="2"/>
  <c r="R329" i="2"/>
  <c r="R281" i="2"/>
  <c r="R209" i="2"/>
  <c r="R149" i="2"/>
  <c r="R89" i="2"/>
  <c r="R29" i="2"/>
  <c r="R589" i="2"/>
  <c r="R397" i="2"/>
  <c r="R625" i="2"/>
  <c r="R577" i="2"/>
  <c r="R529" i="2"/>
  <c r="R421" i="2"/>
  <c r="R246" i="2"/>
  <c r="R245" i="2"/>
  <c r="R613" i="2"/>
  <c r="R565" i="2"/>
  <c r="R517" i="2"/>
  <c r="R481" i="2"/>
  <c r="R433" i="2"/>
  <c r="R601" i="2"/>
  <c r="R553" i="2"/>
  <c r="R505" i="2"/>
  <c r="R469" i="2"/>
  <c r="R385" i="2"/>
  <c r="R493" i="2"/>
  <c r="R457" i="2"/>
  <c r="R174" i="2"/>
  <c r="R173" i="2"/>
  <c r="R629" i="2"/>
  <c r="R628" i="2"/>
  <c r="R349" i="2"/>
  <c r="R289" i="2"/>
  <c r="R217" i="2"/>
  <c r="R157" i="2"/>
  <c r="R97" i="2"/>
  <c r="R13" i="2"/>
  <c r="R624" i="2"/>
  <c r="R612" i="2"/>
  <c r="R600" i="2"/>
  <c r="R588" i="2"/>
  <c r="R576" i="2"/>
  <c r="R564" i="2"/>
  <c r="R552" i="2"/>
  <c r="R540" i="2"/>
  <c r="R528" i="2"/>
  <c r="R516" i="2"/>
  <c r="R504" i="2"/>
  <c r="R492" i="2"/>
  <c r="R480" i="2"/>
  <c r="R468" i="2"/>
  <c r="R456" i="2"/>
  <c r="R444" i="2"/>
  <c r="R432" i="2"/>
  <c r="R420" i="2"/>
  <c r="R408" i="2"/>
  <c r="R396" i="2"/>
  <c r="R384" i="2"/>
  <c r="R372" i="2"/>
  <c r="R360" i="2"/>
  <c r="R348" i="2"/>
  <c r="R336" i="2"/>
  <c r="R324" i="2"/>
  <c r="R312" i="2"/>
  <c r="R300" i="2"/>
  <c r="R288" i="2"/>
  <c r="R276" i="2"/>
  <c r="R264" i="2"/>
  <c r="R252" i="2"/>
  <c r="R240" i="2"/>
  <c r="R228" i="2"/>
  <c r="R216" i="2"/>
  <c r="R204" i="2"/>
  <c r="R192" i="2"/>
  <c r="R180" i="2"/>
  <c r="R168" i="2"/>
  <c r="R156" i="2"/>
  <c r="R144" i="2"/>
  <c r="R132" i="2"/>
  <c r="R120" i="2"/>
  <c r="R108" i="2"/>
  <c r="R96" i="2"/>
  <c r="R84" i="2"/>
  <c r="R72" i="2"/>
  <c r="R60" i="2"/>
  <c r="R48" i="2"/>
  <c r="R36" i="2"/>
  <c r="R24" i="2"/>
  <c r="R12" i="2"/>
  <c r="R337" i="2"/>
  <c r="R265" i="2"/>
  <c r="R193" i="2"/>
  <c r="R121" i="2"/>
  <c r="R49" i="2"/>
  <c r="R623" i="2"/>
  <c r="R611" i="2"/>
  <c r="R599" i="2"/>
  <c r="R587" i="2"/>
  <c r="R575" i="2"/>
  <c r="R563" i="2"/>
  <c r="R551" i="2"/>
  <c r="R539" i="2"/>
  <c r="R527" i="2"/>
  <c r="R503" i="2"/>
  <c r="R491" i="2"/>
  <c r="R479" i="2"/>
  <c r="R467" i="2"/>
  <c r="R455" i="2"/>
  <c r="R443" i="2"/>
  <c r="R431" i="2"/>
  <c r="R419" i="2"/>
  <c r="R407" i="2"/>
  <c r="R395" i="2"/>
  <c r="R383" i="2"/>
  <c r="R371" i="2"/>
  <c r="R359" i="2"/>
  <c r="R347" i="2"/>
  <c r="R335" i="2"/>
  <c r="R323" i="2"/>
  <c r="R311" i="2"/>
  <c r="R299" i="2"/>
  <c r="R287" i="2"/>
  <c r="R275" i="2"/>
  <c r="R263" i="2"/>
  <c r="R251" i="2"/>
  <c r="R239" i="2"/>
  <c r="R227" i="2"/>
  <c r="R215" i="2"/>
  <c r="R203" i="2"/>
  <c r="R191" i="2"/>
  <c r="R179" i="2"/>
  <c r="R167" i="2"/>
  <c r="R155" i="2"/>
  <c r="R143" i="2"/>
  <c r="R131" i="2"/>
  <c r="R119" i="2"/>
  <c r="R107" i="2"/>
  <c r="R95" i="2"/>
  <c r="R71" i="2"/>
  <c r="R59" i="2"/>
  <c r="R47" i="2"/>
  <c r="R35" i="2"/>
  <c r="R11" i="2"/>
  <c r="R373" i="2"/>
  <c r="R301" i="2"/>
  <c r="R241" i="2"/>
  <c r="R181" i="2"/>
  <c r="R145" i="2"/>
  <c r="R85" i="2"/>
  <c r="R25" i="2"/>
  <c r="R622" i="2"/>
  <c r="R610" i="2"/>
  <c r="R598" i="2"/>
  <c r="R586" i="2"/>
  <c r="R574" i="2"/>
  <c r="R562" i="2"/>
  <c r="R550" i="2"/>
  <c r="R538" i="2"/>
  <c r="R526" i="2"/>
  <c r="R502" i="2"/>
  <c r="R490" i="2"/>
  <c r="R478" i="2"/>
  <c r="R466" i="2"/>
  <c r="R454" i="2"/>
  <c r="R442" i="2"/>
  <c r="R430" i="2"/>
  <c r="R418" i="2"/>
  <c r="R406" i="2"/>
  <c r="R394" i="2"/>
  <c r="R382" i="2"/>
  <c r="R370" i="2"/>
  <c r="R358" i="2"/>
  <c r="R346" i="2"/>
  <c r="R334" i="2"/>
  <c r="R361" i="2"/>
  <c r="R313" i="2"/>
  <c r="R253" i="2"/>
  <c r="R205" i="2"/>
  <c r="R133" i="2"/>
  <c r="R73" i="2"/>
  <c r="R37" i="2"/>
  <c r="R609" i="2"/>
  <c r="R585" i="2"/>
  <c r="R561" i="2"/>
  <c r="R537" i="2"/>
  <c r="R513" i="2"/>
  <c r="R489" i="2"/>
  <c r="R465" i="2"/>
  <c r="R441" i="2"/>
  <c r="R417" i="2"/>
  <c r="R393" i="2"/>
  <c r="R369" i="2"/>
  <c r="R345" i="2"/>
  <c r="R321" i="2"/>
  <c r="R297" i="2"/>
  <c r="R261" i="2"/>
  <c r="R237" i="2"/>
  <c r="R213" i="2"/>
  <c r="R189" i="2"/>
  <c r="R165" i="2"/>
  <c r="R141" i="2"/>
  <c r="R117" i="2"/>
  <c r="R93" i="2"/>
  <c r="R69" i="2"/>
  <c r="R45" i="2"/>
  <c r="R33" i="2"/>
  <c r="R9" i="2"/>
  <c r="R325" i="2"/>
  <c r="R277" i="2"/>
  <c r="R229" i="2"/>
  <c r="R169" i="2"/>
  <c r="R109" i="2"/>
  <c r="R61" i="2"/>
  <c r="R621" i="2"/>
  <c r="R597" i="2"/>
  <c r="R573" i="2"/>
  <c r="R549" i="2"/>
  <c r="R525" i="2"/>
  <c r="R501" i="2"/>
  <c r="R477" i="2"/>
  <c r="R453" i="2"/>
  <c r="R429" i="2"/>
  <c r="R405" i="2"/>
  <c r="R381" i="2"/>
  <c r="R357" i="2"/>
  <c r="R333" i="2"/>
  <c r="R309" i="2"/>
  <c r="R285" i="2"/>
  <c r="R273" i="2"/>
  <c r="R249" i="2"/>
  <c r="R225" i="2"/>
  <c r="R201" i="2"/>
  <c r="R177" i="2"/>
  <c r="R153" i="2"/>
  <c r="R129" i="2"/>
  <c r="R105" i="2"/>
  <c r="R81" i="2"/>
  <c r="R57" i="2"/>
  <c r="R21" i="2"/>
  <c r="R3" i="2"/>
  <c r="R620" i="2"/>
  <c r="R608" i="2"/>
  <c r="R596" i="2"/>
  <c r="R584" i="2"/>
  <c r="R572" i="2"/>
  <c r="R560" i="2"/>
  <c r="R548" i="2"/>
  <c r="R536" i="2"/>
  <c r="R524" i="2"/>
  <c r="R512" i="2"/>
  <c r="R500" i="2"/>
  <c r="R488" i="2"/>
  <c r="R476" i="2"/>
  <c r="R464" i="2"/>
  <c r="R452" i="2"/>
  <c r="R440" i="2"/>
  <c r="R428" i="2"/>
  <c r="R416" i="2"/>
  <c r="R404" i="2"/>
  <c r="R392" i="2"/>
  <c r="R380" i="2"/>
  <c r="R368" i="2"/>
  <c r="R356" i="2"/>
  <c r="R344" i="2"/>
  <c r="R332" i="2"/>
  <c r="R320" i="2"/>
  <c r="R308" i="2"/>
  <c r="R296" i="2"/>
  <c r="R284" i="2"/>
  <c r="R272" i="2"/>
  <c r="R260" i="2"/>
  <c r="R248" i="2"/>
  <c r="R236" i="2"/>
  <c r="R224" i="2"/>
  <c r="R212" i="2"/>
  <c r="R200" i="2"/>
  <c r="R188" i="2"/>
  <c r="R176" i="2"/>
  <c r="R164" i="2"/>
  <c r="R152" i="2"/>
  <c r="R140" i="2"/>
  <c r="R128" i="2"/>
  <c r="R116" i="2"/>
  <c r="R104" i="2"/>
  <c r="R92" i="2"/>
  <c r="R80" i="2"/>
  <c r="R68" i="2"/>
  <c r="R56" i="2"/>
  <c r="R44" i="2"/>
  <c r="R32" i="2"/>
  <c r="R20" i="2"/>
  <c r="R8" i="2"/>
  <c r="R619" i="2"/>
  <c r="R607" i="2"/>
  <c r="R595" i="2"/>
  <c r="R583" i="2"/>
  <c r="R571" i="2"/>
  <c r="R559" i="2"/>
  <c r="R547" i="2"/>
  <c r="R535" i="2"/>
  <c r="R523" i="2"/>
  <c r="R511" i="2"/>
  <c r="R499" i="2"/>
  <c r="R487" i="2"/>
  <c r="R475" i="2"/>
  <c r="R463" i="2"/>
  <c r="R451" i="2"/>
  <c r="R439" i="2"/>
  <c r="R427" i="2"/>
  <c r="R415" i="2"/>
  <c r="R403" i="2"/>
  <c r="R391" i="2"/>
  <c r="R379" i="2"/>
  <c r="R367" i="2"/>
  <c r="R355" i="2"/>
  <c r="R343" i="2"/>
  <c r="R331" i="2"/>
  <c r="R319" i="2"/>
  <c r="R307" i="2"/>
  <c r="R295" i="2"/>
  <c r="R283" i="2"/>
  <c r="R271" i="2"/>
  <c r="R259" i="2"/>
  <c r="R235" i="2"/>
  <c r="R223" i="2"/>
  <c r="R211" i="2"/>
  <c r="R199" i="2"/>
  <c r="R187" i="2"/>
  <c r="R175" i="2"/>
  <c r="R163" i="2"/>
  <c r="R151" i="2"/>
  <c r="R139" i="2"/>
  <c r="R127" i="2"/>
  <c r="R115" i="2"/>
  <c r="R103" i="2"/>
  <c r="R91" i="2"/>
  <c r="R79" i="2"/>
  <c r="R67" i="2"/>
  <c r="R55" i="2"/>
  <c r="R43" i="2"/>
  <c r="R31" i="2"/>
  <c r="R19" i="2"/>
  <c r="R7" i="2"/>
  <c r="R627" i="2"/>
  <c r="R603" i="2"/>
  <c r="R579" i="2"/>
  <c r="R555" i="2"/>
  <c r="R531" i="2"/>
  <c r="R507" i="2"/>
  <c r="R483" i="2"/>
  <c r="R459" i="2"/>
  <c r="R435" i="2"/>
  <c r="R399" i="2"/>
  <c r="R375" i="2"/>
  <c r="R351" i="2"/>
  <c r="R327" i="2"/>
  <c r="R303" i="2"/>
  <c r="R279" i="2"/>
  <c r="R243" i="2"/>
  <c r="R219" i="2"/>
  <c r="R195" i="2"/>
  <c r="R171" i="2"/>
  <c r="R148" i="2"/>
  <c r="R147" i="2"/>
  <c r="R123" i="2"/>
  <c r="R87" i="2"/>
  <c r="R51" i="2"/>
  <c r="R15" i="2"/>
  <c r="R615" i="2"/>
  <c r="R591" i="2"/>
  <c r="R567" i="2"/>
  <c r="R543" i="2"/>
  <c r="R519" i="2"/>
  <c r="R495" i="2"/>
  <c r="R471" i="2"/>
  <c r="R447" i="2"/>
  <c r="R423" i="2"/>
  <c r="R411" i="2"/>
  <c r="R387" i="2"/>
  <c r="R363" i="2"/>
  <c r="R339" i="2"/>
  <c r="R315" i="2"/>
  <c r="R291" i="2"/>
  <c r="R267" i="2"/>
  <c r="R255" i="2"/>
  <c r="R231" i="2"/>
  <c r="R207" i="2"/>
  <c r="R183" i="2"/>
  <c r="R159" i="2"/>
  <c r="R135" i="2"/>
  <c r="R111" i="2"/>
  <c r="R99" i="2"/>
  <c r="R75" i="2"/>
  <c r="R63" i="2"/>
  <c r="R40" i="2"/>
  <c r="R27" i="2"/>
  <c r="R626" i="2"/>
  <c r="R614" i="2"/>
  <c r="R602" i="2"/>
  <c r="R590" i="2"/>
  <c r="R578" i="2"/>
  <c r="R566" i="2"/>
  <c r="R554" i="2"/>
  <c r="R542" i="2"/>
  <c r="R530" i="2"/>
  <c r="R518" i="2"/>
  <c r="R506" i="2"/>
  <c r="R494" i="2"/>
  <c r="R482" i="2"/>
  <c r="R470" i="2"/>
  <c r="R458" i="2"/>
  <c r="R446" i="2"/>
  <c r="R434" i="2"/>
  <c r="R422" i="2"/>
  <c r="R410" i="2"/>
  <c r="R398" i="2"/>
  <c r="R386" i="2"/>
  <c r="R374" i="2"/>
  <c r="R362" i="2"/>
  <c r="R350" i="2"/>
  <c r="R338" i="2"/>
  <c r="R326" i="2"/>
  <c r="R314" i="2"/>
  <c r="R302" i="2"/>
  <c r="R290" i="2"/>
  <c r="R278" i="2"/>
  <c r="R266" i="2"/>
  <c r="R254" i="2"/>
  <c r="R242" i="2"/>
  <c r="R230" i="2"/>
  <c r="R218" i="2"/>
  <c r="R206" i="2"/>
  <c r="R194" i="2"/>
  <c r="R182" i="2"/>
  <c r="R170" i="2"/>
  <c r="R158" i="2"/>
  <c r="R146" i="2"/>
  <c r="R134" i="2"/>
  <c r="R122" i="2"/>
  <c r="R110" i="2"/>
  <c r="R98" i="2"/>
  <c r="R86" i="2"/>
  <c r="R74" i="2"/>
  <c r="R50" i="2"/>
  <c r="R38" i="2"/>
  <c r="R26" i="2"/>
  <c r="R14" i="2"/>
  <c r="R62" i="2"/>
  <c r="R515" i="2"/>
  <c r="R83" i="2"/>
  <c r="R23" i="2"/>
  <c r="R514" i="2"/>
  <c r="R247" i="2"/>
  <c r="R39" i="2"/>
  <c r="L3" i="2"/>
  <c r="M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Usuário PC</author>
  </authors>
  <commentList>
    <comment ref="N2" authorId="0" shapeId="0" xr:uid="{DC7A79DA-8B79-4C2E-B5F9-370C5264E720}">
      <text>
        <r>
          <rPr>
            <sz val="9"/>
            <color indexed="81"/>
            <rFont val="Tahoma"/>
            <family val="2"/>
          </rPr>
          <t xml:space="preserve">On columns N, O, P and Q I am subtracting the empy blank spaces from the formula I previously inputed. 
=COUNTIF(N:N,"NOK") for example, on column N.
This is because it is counting the blank spaces that have already been counted on column F, therefore, it impacts the error margin.
</t>
        </r>
      </text>
    </comment>
  </commentList>
</comments>
</file>

<file path=xl/sharedStrings.xml><?xml version="1.0" encoding="utf-8"?>
<sst xmlns="http://schemas.openxmlformats.org/spreadsheetml/2006/main" count="5002" uniqueCount="688">
  <si>
    <t>Definitions</t>
  </si>
  <si>
    <t>Contract ID</t>
  </si>
  <si>
    <t>Growth Engine</t>
  </si>
  <si>
    <t>BU 
(Business Unit)</t>
  </si>
  <si>
    <t>Revenue (£)</t>
  </si>
  <si>
    <t>Financial Year</t>
  </si>
  <si>
    <t>0066700000pziJd</t>
  </si>
  <si>
    <t>Emerging</t>
  </si>
  <si>
    <t>ANZ</t>
  </si>
  <si>
    <t>FY23</t>
  </si>
  <si>
    <t>0066700000rWavr</t>
  </si>
  <si>
    <t>Corporate</t>
  </si>
  <si>
    <t>FY25</t>
  </si>
  <si>
    <t>0066700000pxStd</t>
  </si>
  <si>
    <t>0066700000rXAx7</t>
  </si>
  <si>
    <t>0060X00000g4iJR</t>
  </si>
  <si>
    <t>FY24</t>
  </si>
  <si>
    <t>0066700000py76P</t>
  </si>
  <si>
    <t>0066700000oGCN7</t>
  </si>
  <si>
    <t>0066700000rX0Qb</t>
  </si>
  <si>
    <t>0066700000pzD1N</t>
  </si>
  <si>
    <t>0066700000rXAx8</t>
  </si>
  <si>
    <t>0066700000q0jC9</t>
  </si>
  <si>
    <t>0060X00000k3ZJA</t>
  </si>
  <si>
    <t>0066700000pxngm</t>
  </si>
  <si>
    <t>Enterprise</t>
  </si>
  <si>
    <t>0060X00000k180L</t>
  </si>
  <si>
    <t>0066700000rWsN1</t>
  </si>
  <si>
    <t>0060X00000k1dq7</t>
  </si>
  <si>
    <t>0066700000pyY2x</t>
  </si>
  <si>
    <t>0066700000oFnBl</t>
  </si>
  <si>
    <t>0060X00000k3dqQ</t>
  </si>
  <si>
    <t>Enteprise</t>
  </si>
  <si>
    <t>0066700000oFuau</t>
  </si>
  <si>
    <t>0066700000rktRA</t>
  </si>
  <si>
    <t>0066700000oFYhJ</t>
  </si>
  <si>
    <t>0066700000rkkuk</t>
  </si>
  <si>
    <t>0066700000oEa1e</t>
  </si>
  <si>
    <t>0066700000rkDJb</t>
  </si>
  <si>
    <t>0066700000rkfB8</t>
  </si>
  <si>
    <t>0066700000pzD1D</t>
  </si>
  <si>
    <t>0066700000rWgug</t>
  </si>
  <si>
    <t>0066700000pzAOf</t>
  </si>
  <si>
    <t>0060X00000lv0um</t>
  </si>
  <si>
    <t>0066700000pzD1O</t>
  </si>
  <si>
    <t>0066700000pyxYk</t>
  </si>
  <si>
    <t>0060X00000k3jZL</t>
  </si>
  <si>
    <t>0060X00000g8R28</t>
  </si>
  <si>
    <t>0066700000oE3xH</t>
  </si>
  <si>
    <t>0066700000rjXGY</t>
  </si>
  <si>
    <t>0060X00000k1801</t>
  </si>
  <si>
    <t>0066700000oF1We</t>
  </si>
  <si>
    <t>0066700000q0TMB</t>
  </si>
  <si>
    <t>0060X00000k1dpi</t>
  </si>
  <si>
    <t>0066700000m0k1x</t>
  </si>
  <si>
    <t>0066700000rl5CN</t>
  </si>
  <si>
    <t>0060X00000k1Lz3</t>
  </si>
  <si>
    <t>0066700000oG9fp</t>
  </si>
  <si>
    <t>0066700000oCR0M</t>
  </si>
  <si>
    <t>0060X00000lvcni</t>
  </si>
  <si>
    <t>0066700000oCPqw</t>
  </si>
  <si>
    <t>0066700000pxneq</t>
  </si>
  <si>
    <t>0066700000oCq6d</t>
  </si>
  <si>
    <t>0060X00000k20Ji</t>
  </si>
  <si>
    <t>DACH</t>
  </si>
  <si>
    <t>0060X00000lvKTd</t>
  </si>
  <si>
    <t>0060X00000lvT3N</t>
  </si>
  <si>
    <t>0066700000oEa1C</t>
  </si>
  <si>
    <t>0066700000oEebr</t>
  </si>
  <si>
    <t>0066700000oEvYP</t>
  </si>
  <si>
    <t>0066700000oFCwW</t>
  </si>
  <si>
    <t>0066700000oFsCJ</t>
  </si>
  <si>
    <t>0066700000oFzb8</t>
  </si>
  <si>
    <t>0066700000pxx3s</t>
  </si>
  <si>
    <t>0066700000q1KCl</t>
  </si>
  <si>
    <t>0066700000q1OKd</t>
  </si>
  <si>
    <t>0066700000rjpyO</t>
  </si>
  <si>
    <t>0066700000rkBps</t>
  </si>
  <si>
    <t>0066700000rkda0</t>
  </si>
  <si>
    <t>0066700000rkDgU</t>
  </si>
  <si>
    <t>0066700000rklo2</t>
  </si>
  <si>
    <t>0066700000rlwAg</t>
  </si>
  <si>
    <t>0066700000rXQ05</t>
  </si>
  <si>
    <t>0060X00000g6FL0</t>
  </si>
  <si>
    <t>France</t>
  </si>
  <si>
    <t>0060X00000lvbgL</t>
  </si>
  <si>
    <t>0066700000m0UaX</t>
  </si>
  <si>
    <t>0066700000oCifQ</t>
  </si>
  <si>
    <t>0066700000oD30m</t>
  </si>
  <si>
    <t>0066700000oDxn8</t>
  </si>
  <si>
    <t>0066700000oEa2i</t>
  </si>
  <si>
    <t>0066700000oEfjo</t>
  </si>
  <si>
    <t>0066700000oElVD</t>
  </si>
  <si>
    <t>0066700000oEnV2</t>
  </si>
  <si>
    <t>0066700000oF1NN</t>
  </si>
  <si>
    <t>0066700000oFHM7</t>
  </si>
  <si>
    <t>0066700000oFkqB</t>
  </si>
  <si>
    <t>0066700000oFlFB</t>
  </si>
  <si>
    <t>0066700000oFzis</t>
  </si>
  <si>
    <t>0066700000oFzlI</t>
  </si>
  <si>
    <t>0066700000pxETI</t>
  </si>
  <si>
    <t>0066700000pxG58</t>
  </si>
  <si>
    <t>0066700000pxPh5</t>
  </si>
  <si>
    <t>0066700000pyG7x</t>
  </si>
  <si>
    <t>0066700000pyRfR</t>
  </si>
  <si>
    <t>0066700000pyRI3</t>
  </si>
  <si>
    <t>0066700000pzaKr</t>
  </si>
  <si>
    <t>0066700000pzh5B</t>
  </si>
  <si>
    <t>0066700000pzvWr</t>
  </si>
  <si>
    <t>0066700000pzyY8</t>
  </si>
  <si>
    <t>0066700000q03gV</t>
  </si>
  <si>
    <t>0066700000q04BS</t>
  </si>
  <si>
    <t>0066700000q08c3</t>
  </si>
  <si>
    <t>0066700000q0OO9</t>
  </si>
  <si>
    <t>0066700000q11y6</t>
  </si>
  <si>
    <t>0066700000q1JAj</t>
  </si>
  <si>
    <t>0066700000q1PEw</t>
  </si>
  <si>
    <t>0066700000rjn8h</t>
  </si>
  <si>
    <t>0066700000rjn8i</t>
  </si>
  <si>
    <t>0066700000rjSfa</t>
  </si>
  <si>
    <t>0066700000rkDgK</t>
  </si>
  <si>
    <t>0066700000rkDhQ</t>
  </si>
  <si>
    <t>0066700000rkmAC</t>
  </si>
  <si>
    <t>0066700000rlciU</t>
  </si>
  <si>
    <t>0066700000rlI5T</t>
  </si>
  <si>
    <t>0066700000rlMBi</t>
  </si>
  <si>
    <t>0066700000rlQtj</t>
  </si>
  <si>
    <t>0066700000rVyZz</t>
  </si>
  <si>
    <t>0066700000rW67h</t>
  </si>
  <si>
    <t>0066700000rW6tr</t>
  </si>
  <si>
    <t>0066700000rWdhp</t>
  </si>
  <si>
    <t>0066700000rWJ14</t>
  </si>
  <si>
    <t>0066700000rWrZW</t>
  </si>
  <si>
    <t>0066700000rWSDr</t>
  </si>
  <si>
    <t>0066700000rX1wt</t>
  </si>
  <si>
    <t>0066700000rX1zm</t>
  </si>
  <si>
    <t>0066700000rXOpC</t>
  </si>
  <si>
    <t>0066700000oFXq7</t>
  </si>
  <si>
    <t>North America</t>
  </si>
  <si>
    <t>0066700000oDOc2</t>
  </si>
  <si>
    <t>0066700000oFFyn</t>
  </si>
  <si>
    <t>0066700000q0vqJ</t>
  </si>
  <si>
    <t>0066700000pyVHs</t>
  </si>
  <si>
    <t>0066700000oGCDv</t>
  </si>
  <si>
    <t>0066700000pzx67</t>
  </si>
  <si>
    <t>0066700000rX0QH</t>
  </si>
  <si>
    <t>0066700000oF3oq</t>
  </si>
  <si>
    <t>0066700000rjax5</t>
  </si>
  <si>
    <t>0066700000oDsmW</t>
  </si>
  <si>
    <t>0066700000pz3Pz</t>
  </si>
  <si>
    <t>0066700000oEFPt</t>
  </si>
  <si>
    <t>0066700000q0vxh</t>
  </si>
  <si>
    <t>0066700000m1YpT</t>
  </si>
  <si>
    <t>0066700000pxcaB</t>
  </si>
  <si>
    <t>0066700000pxmud</t>
  </si>
  <si>
    <t>0066700000rX8Cb</t>
  </si>
  <si>
    <t>0066700000rVknn</t>
  </si>
  <si>
    <t>0060X00000lzsQh</t>
  </si>
  <si>
    <t>N America</t>
  </si>
  <si>
    <t>0066700000rkioy</t>
  </si>
  <si>
    <t>0066700000rkSFy</t>
  </si>
  <si>
    <t>0066700000rkiox</t>
  </si>
  <si>
    <t>0066700000oFD88</t>
  </si>
  <si>
    <t>0066700000oF7Pd</t>
  </si>
  <si>
    <t>0066700000pynPO</t>
  </si>
  <si>
    <t>0066700000rWXUM</t>
  </si>
  <si>
    <t>0066700000rjax3</t>
  </si>
  <si>
    <t>0066700000rkiux</t>
  </si>
  <si>
    <t>0066700000rjax4</t>
  </si>
  <si>
    <t>0066700000pxyNu</t>
  </si>
  <si>
    <t>0066700000q1Lh0</t>
  </si>
  <si>
    <t>0060X00000bXFZX</t>
  </si>
  <si>
    <t>UK</t>
  </si>
  <si>
    <t>0060X00000g8dQO</t>
  </si>
  <si>
    <t>0060X00000k0zdm</t>
  </si>
  <si>
    <t>0060X00000k12gh</t>
  </si>
  <si>
    <t>0060X00000k1ILv</t>
  </si>
  <si>
    <t>0060X00000k1WEW</t>
  </si>
  <si>
    <t>0060X00000k26S9</t>
  </si>
  <si>
    <t>0060X00000k2dPE</t>
  </si>
  <si>
    <t>0060X00000k3dJZ</t>
  </si>
  <si>
    <t>0060X00000k3rOa</t>
  </si>
  <si>
    <t>0060X00000k3WdJ</t>
  </si>
  <si>
    <t>0060X00000kX7O6</t>
  </si>
  <si>
    <t>0060X00000kXPI8</t>
  </si>
  <si>
    <t>0060X00000ltTsz</t>
  </si>
  <si>
    <t>0060X00000lu466</t>
  </si>
  <si>
    <t>0060X00000lueeL</t>
  </si>
  <si>
    <t>0060X00000lukzK</t>
  </si>
  <si>
    <t>0060X00000lumON</t>
  </si>
  <si>
    <t>0060X00000luSd5</t>
  </si>
  <si>
    <t>0060X00000luSoe</t>
  </si>
  <si>
    <t>0060X00000lyp1b</t>
  </si>
  <si>
    <t>0060X00000lyp1C</t>
  </si>
  <si>
    <t>0060X00000lz6F6</t>
  </si>
  <si>
    <t>0060X00000lzIZd</t>
  </si>
  <si>
    <t>0060X00000lzJqZ</t>
  </si>
  <si>
    <t>0060X00000lzuzH</t>
  </si>
  <si>
    <t>0060X00000m06ta</t>
  </si>
  <si>
    <t>0060X00000UtjdX</t>
  </si>
  <si>
    <t>0066700000m0k6s</t>
  </si>
  <si>
    <t>0066700000m0tb0</t>
  </si>
  <si>
    <t>0066700000m0VW9</t>
  </si>
  <si>
    <t>0066700000m1cIR</t>
  </si>
  <si>
    <t>0066700000m1I5U</t>
  </si>
  <si>
    <t>0066700000m1kRI</t>
  </si>
  <si>
    <t>0066700000m1l2O</t>
  </si>
  <si>
    <t>0066700000m1TwM</t>
  </si>
  <si>
    <t>0066700000oCij3</t>
  </si>
  <si>
    <t>0066700000oCrrQ</t>
  </si>
  <si>
    <t>0066700000oCU1T</t>
  </si>
  <si>
    <t>0066700000oCZ2e</t>
  </si>
  <si>
    <t>0066700000oD02s</t>
  </si>
  <si>
    <t>0066700000oD28U</t>
  </si>
  <si>
    <t>0066700000oD2Iy</t>
  </si>
  <si>
    <t>0066700000oD39t</t>
  </si>
  <si>
    <t>0066700000oDAw3</t>
  </si>
  <si>
    <t>0066700000oDc7B</t>
  </si>
  <si>
    <t>0066700000oDd9h</t>
  </si>
  <si>
    <t>0066700000oDEXJ</t>
  </si>
  <si>
    <t>0066700000oDfEL</t>
  </si>
  <si>
    <t>0066700000oDL0Q</t>
  </si>
  <si>
    <t>0066700000oDNE3</t>
  </si>
  <si>
    <t>0066700000oDvUz</t>
  </si>
  <si>
    <t>0066700000oDxEJ</t>
  </si>
  <si>
    <t>0066700000oDxun</t>
  </si>
  <si>
    <t>0066700000oDZ4w</t>
  </si>
  <si>
    <t>0066700000oE52I</t>
  </si>
  <si>
    <t>0066700000oE83H</t>
  </si>
  <si>
    <t>0066700000oE9A9</t>
  </si>
  <si>
    <t>0066700000oEa1B</t>
  </si>
  <si>
    <t>0066700000oEa1D</t>
  </si>
  <si>
    <t>0066700000oEa1f</t>
  </si>
  <si>
    <t>0066700000oEa2m</t>
  </si>
  <si>
    <t>0066700000oEa2R</t>
  </si>
  <si>
    <t>0066700000oEAaS</t>
  </si>
  <si>
    <t>0066700000oEbVf</t>
  </si>
  <si>
    <t>Small Business</t>
  </si>
  <si>
    <t>0066700000oEexd</t>
  </si>
  <si>
    <t>0066700000oEftt</t>
  </si>
  <si>
    <t>0066700000oEiDC</t>
  </si>
  <si>
    <t>0066700000oEj4u</t>
  </si>
  <si>
    <t>0066700000oEjQg</t>
  </si>
  <si>
    <t>0066700000oEmDK</t>
  </si>
  <si>
    <t>0066700000oEmIZ</t>
  </si>
  <si>
    <t>0066700000oEN4E</t>
  </si>
  <si>
    <t>0066700000oEo2u</t>
  </si>
  <si>
    <t>0066700000oEoxC</t>
  </si>
  <si>
    <t>0066700000oEQuZ</t>
  </si>
  <si>
    <t>0066700000oEReS</t>
  </si>
  <si>
    <t>0066700000oEsjy</t>
  </si>
  <si>
    <t>0066700000oEtCl</t>
  </si>
  <si>
    <t>0066700000oEtWW</t>
  </si>
  <si>
    <t>0066700000oEULf</t>
  </si>
  <si>
    <t>0066700000oEvyD</t>
  </si>
  <si>
    <t>0066700000oEW6C</t>
  </si>
  <si>
    <t>0066700000oEwFd</t>
  </si>
  <si>
    <t>0066700000oEWUs</t>
  </si>
  <si>
    <t>0066700000oEXdU</t>
  </si>
  <si>
    <t>0066700000oEXh2</t>
  </si>
  <si>
    <t>0066700000oEXyh</t>
  </si>
  <si>
    <t>0066700000oF3Jr</t>
  </si>
  <si>
    <t>0066700000oF5ql</t>
  </si>
  <si>
    <t>0066700000oF5X7</t>
  </si>
  <si>
    <t>0066700000oF66Y</t>
  </si>
  <si>
    <t>0066700000oF6FN</t>
  </si>
  <si>
    <t>0066700000oF6KB</t>
  </si>
  <si>
    <t>0066700000oF6Yh</t>
  </si>
  <si>
    <t>0066700000oF77m</t>
  </si>
  <si>
    <t>0066700000oF9md</t>
  </si>
  <si>
    <t>0066700000oFai9</t>
  </si>
  <si>
    <t>0066700000oFBbW</t>
  </si>
  <si>
    <t>0066700000oFCkd</t>
  </si>
  <si>
    <t>0066700000oFdAo</t>
  </si>
  <si>
    <t>0066700000oFEAR</t>
  </si>
  <si>
    <t>0066700000oFfiU</t>
  </si>
  <si>
    <t>0066700000oFfTu</t>
  </si>
  <si>
    <t>0066700000oFgyu</t>
  </si>
  <si>
    <t>0066700000oFh7o</t>
  </si>
  <si>
    <t>0066700000oFhGW</t>
  </si>
  <si>
    <t>0066700000oFidN</t>
  </si>
  <si>
    <t>0066700000oFiq8</t>
  </si>
  <si>
    <t>0066700000oFJ3u</t>
  </si>
  <si>
    <t>0066700000oFKMN</t>
  </si>
  <si>
    <t>0066700000oFkpm</t>
  </si>
  <si>
    <t>0066700000oFlcU</t>
  </si>
  <si>
    <t>0066700000oFlMH</t>
  </si>
  <si>
    <t>0066700000oFm6t</t>
  </si>
  <si>
    <t>0066700000oFMxn</t>
  </si>
  <si>
    <t>0066700000oFNr2</t>
  </si>
  <si>
    <t>0066700000oFOCo</t>
  </si>
  <si>
    <t>0066700000oFOP9</t>
  </si>
  <si>
    <t>0066700000oFpkF</t>
  </si>
  <si>
    <t>0066700000oFPYp</t>
  </si>
  <si>
    <t>0066700000oFq03</t>
  </si>
  <si>
    <t>0066700000oFqB6</t>
  </si>
  <si>
    <t>0066700000oFqII</t>
  </si>
  <si>
    <t>0066700000oFQlu</t>
  </si>
  <si>
    <t>0066700000oFRCq</t>
  </si>
  <si>
    <t>0066700000oFTtB</t>
  </si>
  <si>
    <t>0066700000oFTwt</t>
  </si>
  <si>
    <t>0066700000oFU9F</t>
  </si>
  <si>
    <t>0066700000oFUs5</t>
  </si>
  <si>
    <t>0066700000oFV5Y</t>
  </si>
  <si>
    <t>0066700000oFV8X</t>
  </si>
  <si>
    <t>0066700000oFVyf</t>
  </si>
  <si>
    <t>0066700000oFwTL</t>
  </si>
  <si>
    <t>0066700000oFwzM</t>
  </si>
  <si>
    <t>0066700000oFXEr</t>
  </si>
  <si>
    <t>0066700000oFXJh</t>
  </si>
  <si>
    <t>0066700000oFycA</t>
  </si>
  <si>
    <t>0066700000oFzb3</t>
  </si>
  <si>
    <t>0066700000oFzky</t>
  </si>
  <si>
    <t>0066700000oFZtB</t>
  </si>
  <si>
    <t>0066700000oG2qt</t>
  </si>
  <si>
    <t>0066700000oG3zh</t>
  </si>
  <si>
    <t>0066700000oG4yb</t>
  </si>
  <si>
    <t>0066700000oG57E</t>
  </si>
  <si>
    <t>0066700000oG6tR</t>
  </si>
  <si>
    <t>0066700000oG7Fc</t>
  </si>
  <si>
    <t>0066700000oG8A2</t>
  </si>
  <si>
    <t>0066700000oG8v0</t>
  </si>
  <si>
    <t>0066700000oGBAf</t>
  </si>
  <si>
    <t>0066700000oGJOF</t>
  </si>
  <si>
    <t>0066700000pxcpV</t>
  </si>
  <si>
    <t>0066700000pxd0O</t>
  </si>
  <si>
    <t>0066700000pxdHF</t>
  </si>
  <si>
    <t>0066700000pxe50</t>
  </si>
  <si>
    <t>0066700000pxemi</t>
  </si>
  <si>
    <t>0066700000pxHq7</t>
  </si>
  <si>
    <t>0066700000pxhsv</t>
  </si>
  <si>
    <t>0066700000pxJIu</t>
  </si>
  <si>
    <t>0066700000pxK6Q</t>
  </si>
  <si>
    <t>0066700000pxKaU</t>
  </si>
  <si>
    <t>0066700000pxm2y</t>
  </si>
  <si>
    <t>0066700000pxM73</t>
  </si>
  <si>
    <t>0066700000pxMbn</t>
  </si>
  <si>
    <t>0066700000pxMew</t>
  </si>
  <si>
    <t>0066700000pxp5O</t>
  </si>
  <si>
    <t>0066700000pxpDm</t>
  </si>
  <si>
    <t>0066700000pxqYn</t>
  </si>
  <si>
    <t>0066700000pxrOo</t>
  </si>
  <si>
    <t>0066700000pxSte</t>
  </si>
  <si>
    <t>0066700000pxSug</t>
  </si>
  <si>
    <t>0066700000pxSv6</t>
  </si>
  <si>
    <t>0066700000pxUDk</t>
  </si>
  <si>
    <t>0066700000pxVbR</t>
  </si>
  <si>
    <t>0066700000pxvRb</t>
  </si>
  <si>
    <t>0066700000pxw4M</t>
  </si>
  <si>
    <t>0066700000pxyNk</t>
  </si>
  <si>
    <t>0066700000pxZW0</t>
  </si>
  <si>
    <t>0066700000py01N</t>
  </si>
  <si>
    <t>0066700000py2Ci</t>
  </si>
  <si>
    <t>0066700000py3fi</t>
  </si>
  <si>
    <t>0066700000py3pP</t>
  </si>
  <si>
    <t>0066700000py6fW</t>
  </si>
  <si>
    <t>0066700000py89p</t>
  </si>
  <si>
    <t>0066700000py8Fr</t>
  </si>
  <si>
    <t>0066700000pya23</t>
  </si>
  <si>
    <t>0066700000pycKm</t>
  </si>
  <si>
    <t>0066700000pyctD</t>
  </si>
  <si>
    <t>0066700000pydx9</t>
  </si>
  <si>
    <t>0066700000pyE2Q</t>
  </si>
  <si>
    <t>0066700000pyENR</t>
  </si>
  <si>
    <t>0066700000pyFEk</t>
  </si>
  <si>
    <t>0066700000pyFJz</t>
  </si>
  <si>
    <t>0066700000pyfxr</t>
  </si>
  <si>
    <t>0066700000pyg5W</t>
  </si>
  <si>
    <t>0066700000pyHh8</t>
  </si>
  <si>
    <t>0066700000pyIeU</t>
  </si>
  <si>
    <t>0066700000pyKar</t>
  </si>
  <si>
    <t>0066700000pylKk</t>
  </si>
  <si>
    <t>0066700000pyme2</t>
  </si>
  <si>
    <t>0066700000pyn5X</t>
  </si>
  <si>
    <t>0066700000pypEy</t>
  </si>
  <si>
    <t>0066700000pyPI9</t>
  </si>
  <si>
    <t>0066700000pyPIY</t>
  </si>
  <si>
    <t>0066700000pyPIZ</t>
  </si>
  <si>
    <t>0066700000pyRIQ</t>
  </si>
  <si>
    <t>0066700000pySdx</t>
  </si>
  <si>
    <t>0066700000pysgu</t>
  </si>
  <si>
    <t>0066700000pySs5</t>
  </si>
  <si>
    <t>0066700000pyt3K</t>
  </si>
  <si>
    <t>0066700000pytB4</t>
  </si>
  <si>
    <t>0066700000pytC9</t>
  </si>
  <si>
    <t>0066700000pytwH</t>
  </si>
  <si>
    <t>0066700000pyUPb</t>
  </si>
  <si>
    <t>0066700000pyUur</t>
  </si>
  <si>
    <t>0066700000pywhQ</t>
  </si>
  <si>
    <t>0066700000pyWSI</t>
  </si>
  <si>
    <t>0066700000pywUq</t>
  </si>
  <si>
    <t>0066700000pyxYp</t>
  </si>
  <si>
    <t>0066700000pyyDi</t>
  </si>
  <si>
    <t>0066700000pyZdS</t>
  </si>
  <si>
    <t>0066700000pyZFz</t>
  </si>
  <si>
    <t>0066700000pyzhQ</t>
  </si>
  <si>
    <t>0066700000pz1f9</t>
  </si>
  <si>
    <t>0066700000pz2Sk</t>
  </si>
  <si>
    <t>0066700000pz2Z7</t>
  </si>
  <si>
    <t>0066700000pz4KQ</t>
  </si>
  <si>
    <t>0066700000pz4Nt</t>
  </si>
  <si>
    <t>0066700000pz9NS</t>
  </si>
  <si>
    <t>0066700000pzaJK</t>
  </si>
  <si>
    <t>0066700000pzcu5</t>
  </si>
  <si>
    <t>0066700000pzE1Q</t>
  </si>
  <si>
    <t>0066700000pzEAc</t>
  </si>
  <si>
    <t>0066700000pzEQl</t>
  </si>
  <si>
    <t>0066700000pzf3u</t>
  </si>
  <si>
    <t>0066700000pzh2H</t>
  </si>
  <si>
    <t>0066700000pzhdD</t>
  </si>
  <si>
    <t>0066700000pzhgq</t>
  </si>
  <si>
    <t>0066700000pzhgW</t>
  </si>
  <si>
    <t>0066700000pzI8R</t>
  </si>
  <si>
    <t>0066700000pziAg</t>
  </si>
  <si>
    <t>0066700000pzjhW</t>
  </si>
  <si>
    <t>0066700000pzJl1</t>
  </si>
  <si>
    <t>0066700000pzJnb</t>
  </si>
  <si>
    <t>0066700000pzjYU</t>
  </si>
  <si>
    <t>0066700000pzKKG</t>
  </si>
  <si>
    <t>0066700000pzKOr</t>
  </si>
  <si>
    <t>0066700000pzkv1</t>
  </si>
  <si>
    <t>0066700000pzl3j</t>
  </si>
  <si>
    <t>0066700000pzLFl</t>
  </si>
  <si>
    <t>0066700000pzlHP</t>
  </si>
  <si>
    <t>0066700000pzmAE</t>
  </si>
  <si>
    <t>0066700000pzmn6</t>
  </si>
  <si>
    <t>0066700000pzmx6</t>
  </si>
  <si>
    <t>0066700000pzrU9</t>
  </si>
  <si>
    <t>0066700000pzs1G</t>
  </si>
  <si>
    <t>0066700000pzs9k</t>
  </si>
  <si>
    <t>0066700000pzTzg</t>
  </si>
  <si>
    <t>0066700000pzUPg</t>
  </si>
  <si>
    <t>0066700000pzycY</t>
  </si>
  <si>
    <t>0066700000pzYGn</t>
  </si>
  <si>
    <t>0066700000pzZDV</t>
  </si>
  <si>
    <t>0066700000pzZTT</t>
  </si>
  <si>
    <t>0066700000q008Q</t>
  </si>
  <si>
    <t>0066700000q01eZ</t>
  </si>
  <si>
    <t>0066700000q01lu</t>
  </si>
  <si>
    <t>0066700000q02x3</t>
  </si>
  <si>
    <t>0066700000q06SQ</t>
  </si>
  <si>
    <t>0066700000q07VL</t>
  </si>
  <si>
    <t>0066700000q0acd</t>
  </si>
  <si>
    <t>0066700000q0BEN</t>
  </si>
  <si>
    <t>0066700000q0Bmt</t>
  </si>
  <si>
    <t>0066700000q0CQu</t>
  </si>
  <si>
    <t>0066700000q0D9z</t>
  </si>
  <si>
    <t>0066700000q0DcD</t>
  </si>
  <si>
    <t>0066700000q0fYP</t>
  </si>
  <si>
    <t>0066700000q0gyk</t>
  </si>
  <si>
    <t>0066700000q0hdh</t>
  </si>
  <si>
    <t>0066700000q0i3M</t>
  </si>
  <si>
    <t>0066700000q0Jij</t>
  </si>
  <si>
    <t>0066700000q0JV6</t>
  </si>
  <si>
    <t>0066700000q0JYt</t>
  </si>
  <si>
    <t>0066700000q0KsM</t>
  </si>
  <si>
    <t>0066700000q0L9g</t>
  </si>
  <si>
    <t>0066700000q0LcE</t>
  </si>
  <si>
    <t>0066700000q0mNW</t>
  </si>
  <si>
    <t>0066700000q0n5k</t>
  </si>
  <si>
    <t>0066700000q0Ogg</t>
  </si>
  <si>
    <t>0066700000q0smb</t>
  </si>
  <si>
    <t>0066700000q0sqi</t>
  </si>
  <si>
    <t>0066700000q0sWi</t>
  </si>
  <si>
    <t>0066700000q0VAM</t>
  </si>
  <si>
    <t>0066700000q0XCU</t>
  </si>
  <si>
    <t>0066700000q0YeF</t>
  </si>
  <si>
    <t>0066700000q0yLK</t>
  </si>
  <si>
    <t>0066700000q12eb</t>
  </si>
  <si>
    <t>0066700000q14Q8</t>
  </si>
  <si>
    <t>0066700000q164B</t>
  </si>
  <si>
    <t>0066700000q1713</t>
  </si>
  <si>
    <t>0066700000q184U</t>
  </si>
  <si>
    <t>0066700000q191d</t>
  </si>
  <si>
    <t>0066700000q1Bt4</t>
  </si>
  <si>
    <t>0066700000q1BtE</t>
  </si>
  <si>
    <t>0066700000q1Cqk</t>
  </si>
  <si>
    <t>0066700000q1Fdl</t>
  </si>
  <si>
    <t>0066700000q1Fgf</t>
  </si>
  <si>
    <t>0066700000q1Gmx</t>
  </si>
  <si>
    <t>0066700000q1NoD</t>
  </si>
  <si>
    <t>0066700000q1PdS</t>
  </si>
  <si>
    <t>0066700000rja3K</t>
  </si>
  <si>
    <t>0066700000rjc58</t>
  </si>
  <si>
    <t>0066700000rjjDj</t>
  </si>
  <si>
    <t>0066700000rjjme</t>
  </si>
  <si>
    <t>0066700000rjksV</t>
  </si>
  <si>
    <t>0066700000rjkvT</t>
  </si>
  <si>
    <t>0066700000rjlAs</t>
  </si>
  <si>
    <t>0066700000rjmJV</t>
  </si>
  <si>
    <t>0066700000rjnAi</t>
  </si>
  <si>
    <t>0066700000rjpjn</t>
  </si>
  <si>
    <t>0066700000rjqGc</t>
  </si>
  <si>
    <t>0066700000rjqhP</t>
  </si>
  <si>
    <t>0066700000rjRoo</t>
  </si>
  <si>
    <t>0066700000rjRQh</t>
  </si>
  <si>
    <t>0066700000rjRRp</t>
  </si>
  <si>
    <t>0066700000rjsP3</t>
  </si>
  <si>
    <t>0066700000rjTvA</t>
  </si>
  <si>
    <t>0066700000rjTXN</t>
  </si>
  <si>
    <t>0066700000rjvkT</t>
  </si>
  <si>
    <t>0066700000rjWhw</t>
  </si>
  <si>
    <t>0066700000rjWS1</t>
  </si>
  <si>
    <t>0066700000rjx1k</t>
  </si>
  <si>
    <t>0066700000rjxuY</t>
  </si>
  <si>
    <t>0066700000rjyEb</t>
  </si>
  <si>
    <t>0066700000rjYw0</t>
  </si>
  <si>
    <t>0066700000rjzNU</t>
  </si>
  <si>
    <t>0066700000rk0bc</t>
  </si>
  <si>
    <t>0066700000rk1bs</t>
  </si>
  <si>
    <t>0066700000rk5R0</t>
  </si>
  <si>
    <t>0066700000rk883</t>
  </si>
  <si>
    <t>0066700000rk8tb</t>
  </si>
  <si>
    <t>0066700000rkAnN</t>
  </si>
  <si>
    <t>0066700000rkB9c</t>
  </si>
  <si>
    <t>0066700000rkbXk</t>
  </si>
  <si>
    <t>0066700000rkCAg</t>
  </si>
  <si>
    <t>0066700000rkDgF</t>
  </si>
  <si>
    <t>0066700000rkDhb</t>
  </si>
  <si>
    <t>0066700000rkDhv</t>
  </si>
  <si>
    <t>0066700000rkDhx</t>
  </si>
  <si>
    <t>0066700000rkDi4</t>
  </si>
  <si>
    <t>0066700000rkDiJ</t>
  </si>
  <si>
    <t>0066700000rkDik</t>
  </si>
  <si>
    <t>0066700000rkDiK</t>
  </si>
  <si>
    <t>0066700000rkDiT</t>
  </si>
  <si>
    <t>0066700000rkfeE</t>
  </si>
  <si>
    <t>0066700000rkfO2</t>
  </si>
  <si>
    <t>0066700000rkfZi</t>
  </si>
  <si>
    <t>0066700000rkg9C</t>
  </si>
  <si>
    <t>0066700000rkikM</t>
  </si>
  <si>
    <t>0066700000rkjDS</t>
  </si>
  <si>
    <t>0066700000rkK7q</t>
  </si>
  <si>
    <t>0066700000rklbE</t>
  </si>
  <si>
    <t>0066700000rkOg3</t>
  </si>
  <si>
    <t>0066700000rkp7I</t>
  </si>
  <si>
    <t>0066700000rkPjl</t>
  </si>
  <si>
    <t>0066700000rkS1m</t>
  </si>
  <si>
    <t>0066700000rkvK5</t>
  </si>
  <si>
    <t>0066700000rkvWX</t>
  </si>
  <si>
    <t>0066700000rkX8d</t>
  </si>
  <si>
    <t>0066700000rkXmT</t>
  </si>
  <si>
    <t>0066700000rkxxX</t>
  </si>
  <si>
    <t>0066700000rkxyL</t>
  </si>
  <si>
    <t>0066700000rkY8n</t>
  </si>
  <si>
    <t>0066700000rl1bO</t>
  </si>
  <si>
    <t>0066700000rl7Pn</t>
  </si>
  <si>
    <t>0066700000rl9uB</t>
  </si>
  <si>
    <t>0066700000rlAJ6</t>
  </si>
  <si>
    <t>0066700000rlCky</t>
  </si>
  <si>
    <t>0066700000rldif</t>
  </si>
  <si>
    <t>0066700000rlfBO</t>
  </si>
  <si>
    <t>0066700000rlfEX</t>
  </si>
  <si>
    <t>0066700000rlHxs</t>
  </si>
  <si>
    <t>0066700000rlKBa</t>
  </si>
  <si>
    <t>0066700000rlKd4</t>
  </si>
  <si>
    <t>0066700000rlkWx</t>
  </si>
  <si>
    <t>0066700000rlOSL</t>
  </si>
  <si>
    <t>0066700000rlPi6</t>
  </si>
  <si>
    <t>0066700000rlQbV</t>
  </si>
  <si>
    <t>0066700000rlQnW</t>
  </si>
  <si>
    <t>0066700000rlR1O</t>
  </si>
  <si>
    <t>0066700000rlTVo</t>
  </si>
  <si>
    <t>0066700000rlUS8</t>
  </si>
  <si>
    <t>0066700000rlVTW</t>
  </si>
  <si>
    <t>0066700000rm3jp</t>
  </si>
  <si>
    <t>0066700000rm415</t>
  </si>
  <si>
    <t>0066700000rm5GR</t>
  </si>
  <si>
    <t>0066700000rm6yJ</t>
  </si>
  <si>
    <t>0066700000rmEme</t>
  </si>
  <si>
    <t>0066700000rVk9N</t>
  </si>
  <si>
    <t>0066700000rVlzL</t>
  </si>
  <si>
    <t>0066700000rVm2u</t>
  </si>
  <si>
    <t>0066700000rVmG2</t>
  </si>
  <si>
    <t>0066700000rVmGg</t>
  </si>
  <si>
    <t>0066700000rVtug</t>
  </si>
  <si>
    <t>0066700000rVuwS</t>
  </si>
  <si>
    <t>0066700000rVwJJ</t>
  </si>
  <si>
    <t>0066700000rW6W3</t>
  </si>
  <si>
    <t>0066700000rW6Wh</t>
  </si>
  <si>
    <t>0066700000rWA2t</t>
  </si>
  <si>
    <t>0066700000rWBae</t>
  </si>
  <si>
    <t>0066700000rWbIg</t>
  </si>
  <si>
    <t>0066700000rWCKh</t>
  </si>
  <si>
    <t>0066700000rWdbc</t>
  </si>
  <si>
    <t>0066700000rWdHv</t>
  </si>
  <si>
    <t>0066700000rWEeA</t>
  </si>
  <si>
    <t>0066700000rWejH</t>
  </si>
  <si>
    <t>0066700000rWEnl</t>
  </si>
  <si>
    <t>0066700000rWErO</t>
  </si>
  <si>
    <t>0066700000rWIhl</t>
  </si>
  <si>
    <t>0066700000rWiMv</t>
  </si>
  <si>
    <t>0066700000rWIX7</t>
  </si>
  <si>
    <t>0066700000rWKVb</t>
  </si>
  <si>
    <t>0066700000rWLCV</t>
  </si>
  <si>
    <t>0066700000rWLUe</t>
  </si>
  <si>
    <t>0066700000rWQdE</t>
  </si>
  <si>
    <t>0066700000rWqe2</t>
  </si>
  <si>
    <t>0066700000rWQmV</t>
  </si>
  <si>
    <t>0066700000rWQQl</t>
  </si>
  <si>
    <t>0066700000rWQX6</t>
  </si>
  <si>
    <t>0066700000rWSN3</t>
  </si>
  <si>
    <t>0066700000rWSOp</t>
  </si>
  <si>
    <t>0066700000rWUTC</t>
  </si>
  <si>
    <t>0066700000rWW6Y</t>
  </si>
  <si>
    <t>0066700000rWx8I</t>
  </si>
  <si>
    <t>0066700000rWxMA</t>
  </si>
  <si>
    <t>0066700000rWyzh</t>
  </si>
  <si>
    <t>0066700000rWZ7Y</t>
  </si>
  <si>
    <t>0066700000rWZBP</t>
  </si>
  <si>
    <t>0066700000rX07h</t>
  </si>
  <si>
    <t>0066700000rX1bf</t>
  </si>
  <si>
    <t>0066700000rX1Xx</t>
  </si>
  <si>
    <t>0066700000rX1Yq</t>
  </si>
  <si>
    <t>0066700000rX24P</t>
  </si>
  <si>
    <t>0066700000rX72a</t>
  </si>
  <si>
    <t>0066700000rX7TH</t>
  </si>
  <si>
    <t>0066700000rX7VZ</t>
  </si>
  <si>
    <t>0066700000rXAPw</t>
  </si>
  <si>
    <t>0066700000rXAUm</t>
  </si>
  <si>
    <t>0066700000rXCgI</t>
  </si>
  <si>
    <t>0066700000rXCnd</t>
  </si>
  <si>
    <t>0066700000rXDe3</t>
  </si>
  <si>
    <t>0066700000rXEjT</t>
  </si>
  <si>
    <t>0066700000rXH18</t>
  </si>
  <si>
    <t>0066700000rXI3o</t>
  </si>
  <si>
    <t>0066700000rXJKl</t>
  </si>
  <si>
    <t>0066700000rXKML</t>
  </si>
  <si>
    <t>0066700000rXL73</t>
  </si>
  <si>
    <t>0066700000rXNL1</t>
  </si>
  <si>
    <t>0066700000rXNvn</t>
  </si>
  <si>
    <t>0066700000rXOW0</t>
  </si>
  <si>
    <t>0066700000rXTK3</t>
  </si>
  <si>
    <t>0066700000rXUjs</t>
  </si>
  <si>
    <t>0066700000rXUKT</t>
  </si>
  <si>
    <t>0066700000rXUST</t>
  </si>
  <si>
    <t>0066700000rXUWj</t>
  </si>
  <si>
    <t>0066700000rXVVS</t>
  </si>
  <si>
    <t>Raw Data</t>
  </si>
  <si>
    <t>Blank Check</t>
  </si>
  <si>
    <t>Duplicates</t>
  </si>
  <si>
    <t>Label Consitency BU</t>
  </si>
  <si>
    <t>Label Consitency GE</t>
  </si>
  <si>
    <t>Revenue Check</t>
  </si>
  <si>
    <t>FY Check</t>
  </si>
  <si>
    <t>Possible Issues</t>
  </si>
  <si>
    <t>Blank Issues</t>
  </si>
  <si>
    <t>Duplicate Issues</t>
  </si>
  <si>
    <t>Label Issues GE</t>
  </si>
  <si>
    <t>Lable Issues BU</t>
  </si>
  <si>
    <t>Revenue Issues</t>
  </si>
  <si>
    <t>Financial Year Issues</t>
  </si>
  <si>
    <t>Data Quality Summary</t>
  </si>
  <si>
    <t>% Clean</t>
  </si>
  <si>
    <t>Most Common Issue</t>
  </si>
  <si>
    <t>Total Lines</t>
  </si>
  <si>
    <t>Clean Lines</t>
  </si>
  <si>
    <t>Error Overview</t>
  </si>
  <si>
    <t>Duplicate Contract Ids (6)</t>
  </si>
  <si>
    <t>Clean Data Switch</t>
  </si>
  <si>
    <t>Sum of Revenue (£)</t>
  </si>
  <si>
    <t>Total</t>
  </si>
  <si>
    <t>Revenue by Financial Year</t>
  </si>
  <si>
    <t>FY24 to FY25 - 7.5% growth</t>
  </si>
  <si>
    <t>Business Units</t>
  </si>
  <si>
    <t>BU</t>
  </si>
  <si>
    <t>FY</t>
  </si>
  <si>
    <t>FY23 to FY24 - 7.7% growth.</t>
  </si>
  <si>
    <t>UK is the engine room - 78% of all contracts.</t>
  </si>
  <si>
    <t xml:space="preserve">Stable focus but any changes in the main market affects 3/4 of the business.
</t>
  </si>
  <si>
    <t>Revenue by Growth Engine</t>
  </si>
  <si>
    <t>Revenue (%)</t>
  </si>
  <si>
    <t>Contracts</t>
  </si>
  <si>
    <t>% of Revenue (£)</t>
  </si>
  <si>
    <t>Emerging contributes around 63% of total revenue and 60% of contracts.</t>
  </si>
  <si>
    <t>Utilisation, retention or pricing within Emerging will have the biggest impact on
overall revenue performance.</t>
  </si>
  <si>
    <t>Overall growth - 15.8% - stable forecast.</t>
  </si>
  <si>
    <t>Revenue growth is being driven mainly by the mid-sized segments.</t>
  </si>
  <si>
    <t>No. of Contract IDs</t>
  </si>
  <si>
    <t>Project Overview</t>
  </si>
  <si>
    <t>Objectives</t>
  </si>
  <si>
    <t>1- Data Integrity Audit.</t>
  </si>
  <si>
    <t>2- Segment growth and analysis.</t>
  </si>
  <si>
    <t>3- Stakeholder reporting.</t>
  </si>
  <si>
    <r>
      <rPr>
        <b/>
        <sz val="9"/>
        <color theme="1"/>
        <rFont val="Avenir"/>
      </rPr>
      <t>Contract ID</t>
    </r>
    <r>
      <rPr>
        <sz val="9"/>
        <color theme="1"/>
        <rFont val="Avenir"/>
      </rPr>
      <t>: Unique identifier per Merchant</t>
    </r>
  </si>
  <si>
    <r>
      <rPr>
        <b/>
        <sz val="9"/>
        <color theme="1"/>
        <rFont val="Avenir"/>
      </rPr>
      <t>Growth Engine</t>
    </r>
    <r>
      <rPr>
        <sz val="9"/>
        <color theme="1"/>
        <rFont val="Avenir"/>
      </rPr>
      <t>: Tiered Merchant Classification based on annual revenue thresholds.</t>
    </r>
  </si>
  <si>
    <r>
      <rPr>
        <b/>
        <sz val="9"/>
        <color theme="1"/>
        <rFont val="Avenir"/>
      </rPr>
      <t>BU (Business Unit):</t>
    </r>
    <r>
      <rPr>
        <sz val="9"/>
        <color theme="1"/>
        <rFont val="Avenir"/>
      </rPr>
      <t xml:space="preserve"> Regional market designation.</t>
    </r>
  </si>
  <si>
    <r>
      <t xml:space="preserve">                                                                                                               </t>
    </r>
    <r>
      <rPr>
        <b/>
        <sz val="16"/>
        <color theme="2"/>
        <rFont val="Arial"/>
        <family val="2"/>
        <scheme val="minor"/>
      </rPr>
      <t>Clean Data Summary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</si>
</sst>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£-809]#,##0"/>
    <numFmt numFmtId="165" formatCode="\£#,##0,\k;\(\£#,##0,\k\)"/>
    <numFmt numFmtId="166" formatCode="0.0%"/>
    <numFmt numFmtId="167" formatCode="#.0,,&quot;M&quot;"/>
  </numFmts>
  <fonts count="19">
    <font>
      <sz val="10"/>
      <color rgb="FF000000"/>
      <name val="Arial"/>
      <scheme val="minor"/>
    </font>
    <font>
      <sz val="10"/>
      <color theme="1"/>
      <name val="Avenir"/>
    </font>
    <font>
      <b/>
      <sz val="12"/>
      <color theme="1"/>
      <name val="Avenir"/>
    </font>
    <font>
      <sz val="12"/>
      <color theme="1"/>
      <name val="Avenir"/>
    </font>
    <font>
      <sz val="9"/>
      <color theme="1"/>
      <name val="Avenir"/>
    </font>
    <font>
      <b/>
      <sz val="11"/>
      <color rgb="FF56585B"/>
      <name val="Roboto"/>
    </font>
    <font>
      <sz val="11"/>
      <color rgb="FF000000"/>
      <name val="Roboto"/>
    </font>
    <font>
      <sz val="11"/>
      <color rgb="FF56585B"/>
      <name val="Roboto"/>
    </font>
    <font>
      <b/>
      <sz val="9"/>
      <color theme="1"/>
      <name val="Avenir"/>
    </font>
    <font>
      <sz val="10"/>
      <color rgb="FF000000"/>
      <name val="Arial"/>
      <scheme val="minor"/>
    </font>
    <font>
      <b/>
      <sz val="11"/>
      <name val="Roboto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sz val="9"/>
      <color indexed="81"/>
      <name val="Tahoma"/>
      <family val="2"/>
    </font>
    <font>
      <i/>
      <sz val="10"/>
      <color rgb="FF000000"/>
      <name val="Arial"/>
      <family val="2"/>
      <scheme val="minor"/>
    </font>
    <font>
      <b/>
      <sz val="16"/>
      <name val="Arial"/>
      <family val="2"/>
      <scheme val="minor"/>
    </font>
    <font>
      <b/>
      <sz val="16"/>
      <color theme="2"/>
      <name val="Arial"/>
      <family val="2"/>
      <scheme val="minor"/>
    </font>
    <font>
      <sz val="12"/>
      <color theme="2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E9E8E5"/>
        <bgColor rgb="FFE9E8E5"/>
      </patternFill>
    </fill>
    <fill>
      <patternFill patternType="solid">
        <fgColor rgb="FFFFFFFF"/>
        <bgColor rgb="FFFFFFFF"/>
      </patternFill>
    </fill>
    <fill>
      <patternFill patternType="solid">
        <fgColor theme="4" tint="0.59999389629810485"/>
        <bgColor rgb="FFE9E8E5"/>
      </patternFill>
    </fill>
    <fill>
      <patternFill patternType="solid">
        <fgColor theme="6" tint="0.79998168889431442"/>
        <bgColor rgb="FFE9E8E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rgb="FFE9E8E5"/>
      </patternFill>
    </fill>
    <fill>
      <patternFill patternType="solid">
        <fgColor theme="4" tint="-0.499984740745262"/>
        <bgColor indexed="64"/>
      </patternFill>
    </fill>
  </fills>
  <borders count="19">
    <border>
      <left/>
      <right/>
      <top/>
      <bottom/>
      <diagonal/>
    </border>
    <border>
      <left style="thin">
        <color rgb="FFF9F9F7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9F9F7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9F9F7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7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/>
    </xf>
    <xf numFmtId="165" fontId="6" fillId="3" borderId="2" xfId="0" applyNumberFormat="1" applyFont="1" applyFill="1" applyBorder="1" applyAlignment="1">
      <alignment horizontal="center"/>
    </xf>
    <xf numFmtId="165" fontId="6" fillId="3" borderId="3" xfId="0" applyNumberFormat="1" applyFont="1" applyFill="1" applyBorder="1" applyAlignment="1">
      <alignment horizontal="center"/>
    </xf>
    <xf numFmtId="165" fontId="6" fillId="3" borderId="6" xfId="0" applyNumberFormat="1" applyFont="1" applyFill="1" applyBorder="1" applyAlignment="1">
      <alignment horizontal="center"/>
    </xf>
    <xf numFmtId="0" fontId="7" fillId="3" borderId="3" xfId="0" applyFont="1" applyFill="1" applyBorder="1"/>
    <xf numFmtId="164" fontId="7" fillId="3" borderId="3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/>
    <xf numFmtId="0" fontId="12" fillId="0" borderId="7" xfId="0" applyFont="1" applyBorder="1"/>
    <xf numFmtId="0" fontId="5" fillId="2" borderId="0" xfId="0" applyFont="1" applyFill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164" fontId="10" fillId="5" borderId="0" xfId="0" applyNumberFormat="1" applyFont="1" applyFill="1" applyAlignment="1">
      <alignment horizontal="center" vertical="center" wrapText="1"/>
    </xf>
    <xf numFmtId="164" fontId="10" fillId="4" borderId="0" xfId="0" applyNumberFormat="1" applyFont="1" applyFill="1" applyAlignment="1">
      <alignment horizontal="center" vertical="center" wrapText="1"/>
    </xf>
    <xf numFmtId="165" fontId="6" fillId="3" borderId="0" xfId="0" applyNumberFormat="1" applyFont="1" applyFill="1" applyAlignment="1">
      <alignment horizontal="center"/>
    </xf>
    <xf numFmtId="0" fontId="0" fillId="0" borderId="7" xfId="0" applyBorder="1" applyAlignment="1">
      <alignment horizontal="center"/>
    </xf>
    <xf numFmtId="0" fontId="6" fillId="3" borderId="0" xfId="0" applyFont="1" applyFill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164" fontId="10" fillId="10" borderId="0" xfId="0" applyNumberFormat="1" applyFont="1" applyFill="1" applyAlignment="1">
      <alignment horizontal="center" vertical="center" wrapText="1"/>
    </xf>
    <xf numFmtId="0" fontId="6" fillId="3" borderId="7" xfId="0" applyFont="1" applyFill="1" applyBorder="1" applyAlignment="1">
      <alignment horizontal="center"/>
    </xf>
    <xf numFmtId="4" fontId="0" fillId="0" borderId="7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15" fillId="0" borderId="0" xfId="0" applyFont="1"/>
    <xf numFmtId="10" fontId="0" fillId="0" borderId="0" xfId="0" applyNumberFormat="1" applyAlignment="1">
      <alignment horizontal="center"/>
    </xf>
    <xf numFmtId="0" fontId="0" fillId="0" borderId="0" xfId="0" pivotButton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167" fontId="0" fillId="0" borderId="13" xfId="0" applyNumberFormat="1" applyBorder="1" applyAlignment="1">
      <alignment horizontal="center"/>
    </xf>
    <xf numFmtId="166" fontId="0" fillId="0" borderId="14" xfId="0" applyNumberFormat="1" applyBorder="1" applyAlignment="1">
      <alignment horizontal="center"/>
    </xf>
    <xf numFmtId="0" fontId="0" fillId="0" borderId="15" xfId="0" applyBorder="1"/>
    <xf numFmtId="167" fontId="0" fillId="0" borderId="0" xfId="0" applyNumberFormat="1" applyAlignment="1">
      <alignment horizontal="center"/>
    </xf>
    <xf numFmtId="166" fontId="0" fillId="0" borderId="16" xfId="0" applyNumberFormat="1" applyBorder="1" applyAlignment="1">
      <alignment horizontal="center"/>
    </xf>
    <xf numFmtId="0" fontId="0" fillId="0" borderId="17" xfId="0" applyBorder="1"/>
    <xf numFmtId="0" fontId="0" fillId="0" borderId="11" xfId="0" applyBorder="1" applyAlignment="1">
      <alignment horizontal="center"/>
    </xf>
    <xf numFmtId="167" fontId="0" fillId="0" borderId="11" xfId="0" applyNumberFormat="1" applyBorder="1" applyAlignment="1">
      <alignment horizontal="center"/>
    </xf>
    <xf numFmtId="166" fontId="0" fillId="0" borderId="18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10" fontId="0" fillId="0" borderId="13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10" fontId="0" fillId="0" borderId="11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16" xfId="0" applyNumberFormat="1" applyBorder="1" applyAlignment="1">
      <alignment horizontal="center"/>
    </xf>
    <xf numFmtId="167" fontId="0" fillId="0" borderId="18" xfId="0" applyNumberFormat="1" applyBorder="1" applyAlignment="1">
      <alignment horizontal="center"/>
    </xf>
    <xf numFmtId="0" fontId="2" fillId="0" borderId="0" xfId="0" applyFont="1"/>
    <xf numFmtId="0" fontId="0" fillId="0" borderId="0" xfId="0"/>
    <xf numFmtId="0" fontId="11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2" fillId="9" borderId="7" xfId="0" applyFont="1" applyFill="1" applyBorder="1" applyAlignment="1">
      <alignment horizontal="center"/>
    </xf>
    <xf numFmtId="0" fontId="13" fillId="6" borderId="0" xfId="0" applyFont="1" applyFill="1" applyAlignment="1">
      <alignment horizontal="center"/>
    </xf>
    <xf numFmtId="0" fontId="13" fillId="7" borderId="0" xfId="0" applyFont="1" applyFill="1" applyAlignment="1">
      <alignment horizontal="center"/>
    </xf>
    <xf numFmtId="0" fontId="13" fillId="8" borderId="0" xfId="0" applyFont="1" applyFill="1" applyAlignment="1">
      <alignment horizontal="center"/>
    </xf>
    <xf numFmtId="0" fontId="0" fillId="0" borderId="8" xfId="0" applyBorder="1" applyAlignment="1">
      <alignment horizontal="center"/>
    </xf>
    <xf numFmtId="166" fontId="0" fillId="0" borderId="8" xfId="1" applyNumberFormat="1" applyFont="1" applyBorder="1" applyAlignment="1">
      <alignment horizontal="center"/>
    </xf>
    <xf numFmtId="166" fontId="0" fillId="0" borderId="9" xfId="1" applyNumberFormat="1" applyFont="1" applyBorder="1" applyAlignment="1">
      <alignment horizontal="center"/>
    </xf>
    <xf numFmtId="166" fontId="0" fillId="0" borderId="10" xfId="1" applyNumberFormat="1" applyFont="1" applyBorder="1" applyAlignment="1">
      <alignment horizontal="center"/>
    </xf>
    <xf numFmtId="0" fontId="15" fillId="0" borderId="0" xfId="0" applyFont="1" applyAlignment="1">
      <alignment horizontal="left" wrapText="1"/>
    </xf>
    <xf numFmtId="0" fontId="18" fillId="11" borderId="0" xfId="0" applyFont="1" applyFill="1" applyAlignment="1">
      <alignment horizontal="center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vertical="top" wrapText="1"/>
    </xf>
    <xf numFmtId="0" fontId="16" fillId="11" borderId="0" xfId="0" applyFont="1" applyFill="1" applyAlignment="1">
      <alignment horizontal="left" vertical="center"/>
    </xf>
  </cellXfs>
  <cellStyles count="2">
    <cellStyle name="Normal" xfId="0" builtinId="0"/>
    <cellStyle name="Percent" xfId="1" builtinId="5"/>
  </cellStyles>
  <dxfs count="22">
    <dxf>
      <font>
        <b/>
        <i val="0"/>
      </font>
      <fill>
        <patternFill>
          <bgColor theme="5" tint="0.39994506668294322"/>
        </patternFill>
      </fill>
    </dxf>
    <dxf>
      <fill>
        <patternFill>
          <bgColor rgb="FFCC3300"/>
        </patternFill>
      </fill>
    </dxf>
    <dxf>
      <font>
        <b/>
        <i val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5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#.0,,&quot;M&quot;"/>
    </dxf>
    <dxf>
      <numFmt numFmtId="166" formatCode="0.0%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colors>
    <mruColors>
      <color rgb="FFF8F8F8"/>
      <color rgb="FFFF5050"/>
      <color rgb="FFCC0000"/>
      <color rgb="FFFF0000"/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[Merchant_Revenue_Analysis.xlsx]Clean Data Summary!PivotTable8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2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800" b="1" u="none">
                <a:solidFill>
                  <a:schemeClr val="tx2">
                    <a:lumMod val="65000"/>
                    <a:lumOff val="35000"/>
                  </a:schemeClr>
                </a:solidFill>
              </a:rPr>
              <a:t>Revenue</a:t>
            </a:r>
            <a:r>
              <a:rPr lang="pt-PT" sz="1800" b="1" u="none" baseline="0">
                <a:solidFill>
                  <a:schemeClr val="tx2">
                    <a:lumMod val="65000"/>
                    <a:lumOff val="35000"/>
                  </a:schemeClr>
                </a:solidFill>
              </a:rPr>
              <a:t> </a:t>
            </a:r>
            <a:r>
              <a:rPr lang="pt-PT" sz="1800" b="1" u="none">
                <a:solidFill>
                  <a:schemeClr val="tx2">
                    <a:lumMod val="65000"/>
                    <a:lumOff val="35000"/>
                  </a:schemeClr>
                </a:solidFill>
              </a:rPr>
              <a:t>by Growth Engine</a:t>
            </a:r>
          </a:p>
        </c:rich>
      </c:tx>
      <c:layout>
        <c:manualLayout>
          <c:xMode val="edge"/>
          <c:yMode val="edge"/>
          <c:x val="0.37574314574314577"/>
          <c:y val="1.29515211416741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2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\£0.00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'Clean Data Summary'!$B$25</c:f>
              <c:strCache>
                <c:ptCount val="1"/>
                <c:pt idx="0">
                  <c:v>No. of Contract IDs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'Clean Data Summary'!$A$26:$A$29</c:f>
              <c:strCache>
                <c:ptCount val="4"/>
                <c:pt idx="0">
                  <c:v>Emerging</c:v>
                </c:pt>
                <c:pt idx="1">
                  <c:v>Corporate</c:v>
                </c:pt>
                <c:pt idx="2">
                  <c:v>Enterprise</c:v>
                </c:pt>
                <c:pt idx="3">
                  <c:v>Small Business</c:v>
                </c:pt>
              </c:strCache>
            </c:strRef>
          </c:cat>
          <c:val>
            <c:numRef>
              <c:f>'Clean Data Summary'!$B$26:$B$29</c:f>
              <c:numCache>
                <c:formatCode>General</c:formatCode>
                <c:ptCount val="4"/>
                <c:pt idx="0">
                  <c:v>368</c:v>
                </c:pt>
                <c:pt idx="1">
                  <c:v>169</c:v>
                </c:pt>
                <c:pt idx="2">
                  <c:v>46</c:v>
                </c:pt>
                <c:pt idx="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80-4C14-A15B-CE865B2EC7A6}"/>
            </c:ext>
          </c:extLst>
        </c:ser>
        <c:ser>
          <c:idx val="1"/>
          <c:order val="1"/>
          <c:tx>
            <c:strRef>
              <c:f>'Clean Data Summary'!$C$25</c:f>
              <c:strCache>
                <c:ptCount val="1"/>
                <c:pt idx="0">
                  <c:v>Sum of Revenue (£)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C80-4C14-A15B-CE865B2EC7A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C80-4C14-A15B-CE865B2EC7A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C80-4C14-A15B-CE865B2EC7A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C80-4C14-A15B-CE865B2EC7A6}"/>
              </c:ext>
            </c:extLst>
          </c:dPt>
          <c:dLbls>
            <c:numFmt formatCode="\£0.00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'Clean Data Summary'!$A$26:$A$29</c:f>
              <c:strCache>
                <c:ptCount val="4"/>
                <c:pt idx="0">
                  <c:v>Emerging</c:v>
                </c:pt>
                <c:pt idx="1">
                  <c:v>Corporate</c:v>
                </c:pt>
                <c:pt idx="2">
                  <c:v>Enterprise</c:v>
                </c:pt>
                <c:pt idx="3">
                  <c:v>Small Business</c:v>
                </c:pt>
              </c:strCache>
            </c:strRef>
          </c:cat>
          <c:val>
            <c:numRef>
              <c:f>'Clean Data Summary'!$C$26:$C$29</c:f>
              <c:numCache>
                <c:formatCode>#.0,,"M"</c:formatCode>
                <c:ptCount val="4"/>
                <c:pt idx="0">
                  <c:v>58453510</c:v>
                </c:pt>
                <c:pt idx="1">
                  <c:v>25050527</c:v>
                </c:pt>
                <c:pt idx="2">
                  <c:v>5424412</c:v>
                </c:pt>
                <c:pt idx="3">
                  <c:v>2949779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80-4C14-A15B-CE865B2EC7A6}"/>
            </c:ext>
          </c:extLst>
        </c:ser>
        <c:ser>
          <c:idx val="2"/>
          <c:order val="2"/>
          <c:tx>
            <c:strRef>
              <c:f>'Clean Data Summary'!$D$25</c:f>
              <c:strCache>
                <c:ptCount val="1"/>
                <c:pt idx="0">
                  <c:v>% of Revenue (£)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'Clean Data Summary'!$A$26:$A$29</c:f>
              <c:strCache>
                <c:ptCount val="4"/>
                <c:pt idx="0">
                  <c:v>Emerging</c:v>
                </c:pt>
                <c:pt idx="1">
                  <c:v>Corporate</c:v>
                </c:pt>
                <c:pt idx="2">
                  <c:v>Enterprise</c:v>
                </c:pt>
                <c:pt idx="3">
                  <c:v>Small Business</c:v>
                </c:pt>
              </c:strCache>
            </c:strRef>
          </c:cat>
          <c:val>
            <c:numRef>
              <c:f>'Clean Data Summary'!$D$26:$D$29</c:f>
              <c:numCache>
                <c:formatCode>0.0%</c:formatCode>
                <c:ptCount val="4"/>
                <c:pt idx="0">
                  <c:v>0.63620632735755422</c:v>
                </c:pt>
                <c:pt idx="1">
                  <c:v>0.2726492178321071</c:v>
                </c:pt>
                <c:pt idx="2">
                  <c:v>5.903914472534233E-2</c:v>
                </c:pt>
                <c:pt idx="3">
                  <c:v>3.2105310084996418E-2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80-4C14-A15B-CE865B2EC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934956415"/>
        <c:axId val="934946335"/>
      </c:barChart>
      <c:catAx>
        <c:axId val="934956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2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34946335"/>
        <c:crosses val="autoZero"/>
        <c:auto val="1"/>
        <c:lblAlgn val="ctr"/>
        <c:lblOffset val="100"/>
        <c:noMultiLvlLbl val="0"/>
      </c:catAx>
      <c:valAx>
        <c:axId val="934946335"/>
        <c:scaling>
          <c:orientation val="minMax"/>
        </c:scaling>
        <c:delete val="0"/>
        <c:axPos val="b"/>
        <c:majorGridlines>
          <c:spPr>
            <a:ln w="3175" cap="flat" cmpd="sng" algn="ctr">
              <a:solidFill>
                <a:srgbClr val="F8F8F8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34956415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0.46836145481814773"/>
                <c:y val="0.94421769902668617"/>
              </c:manualLayout>
            </c:layout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2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10</xdr:row>
      <xdr:rowOff>123825</xdr:rowOff>
    </xdr:from>
    <xdr:to>
      <xdr:col>15</xdr:col>
      <xdr:colOff>419100</xdr:colOff>
      <xdr:row>13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706B5B8-4B91-97A0-BACD-8E874F21CCA3}"/>
            </a:ext>
          </a:extLst>
        </xdr:cNvPr>
        <xdr:cNvSpPr txBox="1"/>
      </xdr:nvSpPr>
      <xdr:spPr>
        <a:xfrm>
          <a:off x="10325100" y="2495550"/>
          <a:ext cx="3000375" cy="4953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100" b="1"/>
            <a:t>Note:</a:t>
          </a:r>
          <a:r>
            <a:rPr lang="pt-PT" sz="1100" b="0" baseline="0"/>
            <a:t> For </a:t>
          </a:r>
          <a:r>
            <a:rPr lang="pt-PT" sz="1100" b="0" baseline="0">
              <a:ln>
                <a:noFill/>
              </a:ln>
            </a:rPr>
            <a:t>Clean</a:t>
          </a:r>
          <a:r>
            <a:rPr lang="pt-PT" sz="1100" b="0" baseline="0"/>
            <a:t> Data filter, unhide column R.</a:t>
          </a:r>
        </a:p>
        <a:p>
          <a:endParaRPr lang="pt-PT" sz="11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257175</xdr:colOff>
      <xdr:row>2</xdr:row>
      <xdr:rowOff>23190</xdr:rowOff>
    </xdr:from>
    <xdr:to>
      <xdr:col>25</xdr:col>
      <xdr:colOff>254276</xdr:colOff>
      <xdr:row>30</xdr:row>
      <xdr:rowOff>160268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1BF3E1-E69C-D44B-2AAF-C4A4C1E14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248478</xdr:colOff>
      <xdr:row>31</xdr:row>
      <xdr:rowOff>60464</xdr:rowOff>
    </xdr:from>
    <xdr:to>
      <xdr:col>25</xdr:col>
      <xdr:colOff>281608</xdr:colOff>
      <xdr:row>34</xdr:row>
      <xdr:rowOff>311842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2CC972B-3ADC-03B7-3423-B2F8FA3E18B9}"/>
            </a:ext>
          </a:extLst>
        </xdr:cNvPr>
        <xdr:cNvSpPr txBox="1"/>
      </xdr:nvSpPr>
      <xdr:spPr>
        <a:xfrm>
          <a:off x="5010978" y="5584964"/>
          <a:ext cx="8779565" cy="897421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05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pt-PT" sz="11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Emerging is the dominant revenue driver, generating materially more revenue than the other Growth Engine segments.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05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pt-PT" sz="1050" b="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PT" sz="11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 suggests the biggest commercial opportunity sits in protecting and growing the Emerging base, while also monitoring concentration risk due to the business’s reliance on this segment.</a:t>
          </a:r>
        </a:p>
        <a:p>
          <a:endParaRPr lang="pt-PT" sz="1050" i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ário PC" refreshedDate="46136.756453009257" createdVersion="8" refreshedVersion="8" minRefreshableVersion="3" recordCount="606" xr:uid="{EAE1B331-D01B-44A4-B264-6337172A4F98}">
  <cacheSource type="worksheet">
    <worksheetSource ref="A1:E607" sheet="Clean Data Only"/>
  </cacheSource>
  <cacheFields count="5">
    <cacheField name="Contract ID" numFmtId="0">
      <sharedItems/>
    </cacheField>
    <cacheField name="Growth Engine" numFmtId="0">
      <sharedItems count="4">
        <s v="Emerging"/>
        <s v="Corporate"/>
        <s v="Enterprise"/>
        <s v="Small Business"/>
      </sharedItems>
    </cacheField>
    <cacheField name="BU _x000a_(Business Unit)" numFmtId="0">
      <sharedItems count="5">
        <s v="ANZ"/>
        <s v="DACH"/>
        <s v="France"/>
        <s v="North America"/>
        <s v="UK"/>
      </sharedItems>
    </cacheField>
    <cacheField name="Revenue (£)" numFmtId="165">
      <sharedItems containsSemiMixedTypes="0" containsString="0" containsNumber="1" containsInteger="1" minValue="924" maxValue="299491" count="603">
        <n v="292565"/>
        <n v="288042"/>
        <n v="283760"/>
        <n v="277762"/>
        <n v="272382"/>
        <n v="252435"/>
        <n v="251208"/>
        <n v="251067"/>
        <n v="249649"/>
        <n v="247792"/>
        <n v="247502"/>
        <n v="228344"/>
        <n v="223186"/>
        <n v="218640"/>
        <n v="211672"/>
        <n v="207974"/>
        <n v="203025"/>
        <n v="201645"/>
        <n v="186447"/>
        <n v="156333"/>
        <n v="156064"/>
        <n v="148563"/>
        <n v="125334"/>
        <n v="122007"/>
        <n v="114678"/>
        <n v="109108"/>
        <n v="105632"/>
        <n v="102800"/>
        <n v="90735"/>
        <n v="90382"/>
        <n v="89397"/>
        <n v="85240"/>
        <n v="79583"/>
        <n v="77818"/>
        <n v="75792"/>
        <n v="70180"/>
        <n v="68567"/>
        <n v="65814"/>
        <n v="63174"/>
        <n v="59319"/>
        <n v="36780"/>
        <n v="31826"/>
        <n v="25574"/>
        <n v="15032"/>
        <n v="14341"/>
        <n v="9566"/>
        <n v="6390"/>
        <n v="35704"/>
        <n v="94050"/>
        <n v="197320"/>
        <n v="225091"/>
        <n v="89439"/>
        <n v="214137"/>
        <n v="143171"/>
        <n v="78602"/>
        <n v="160416"/>
        <n v="177317"/>
        <n v="280116"/>
        <n v="33394"/>
        <n v="235841"/>
        <n v="11014"/>
        <n v="182587"/>
        <n v="288368"/>
        <n v="30467"/>
        <n v="68130"/>
        <n v="224391"/>
        <n v="272264"/>
        <n v="279759"/>
        <n v="208069"/>
        <n v="169534"/>
        <n v="4581"/>
        <n v="25711"/>
        <n v="183877"/>
        <n v="24416"/>
        <n v="103719"/>
        <n v="121262"/>
        <n v="85554"/>
        <n v="144042"/>
        <n v="31781"/>
        <n v="166328"/>
        <n v="103994"/>
        <n v="100493"/>
        <n v="210249"/>
        <n v="22977"/>
        <n v="140187"/>
        <n v="924"/>
        <n v="159755"/>
        <n v="44829"/>
        <n v="49237"/>
        <n v="291124"/>
        <n v="126051"/>
        <n v="254486"/>
        <n v="22134"/>
        <n v="63191"/>
        <n v="155975"/>
        <n v="206636"/>
        <n v="83146"/>
        <n v="85279"/>
        <n v="294632"/>
        <n v="36161"/>
        <n v="137979"/>
        <n v="36680"/>
        <n v="227142"/>
        <n v="13941"/>
        <n v="108552"/>
        <n v="53311"/>
        <n v="24984"/>
        <n v="228227"/>
        <n v="237770"/>
        <n v="232299"/>
        <n v="290433"/>
        <n v="276583"/>
        <n v="142128"/>
        <n v="9887"/>
        <n v="122944"/>
        <n v="248407"/>
        <n v="214317"/>
        <n v="199454"/>
        <n v="172495"/>
        <n v="166111"/>
        <n v="137024"/>
        <n v="136865"/>
        <n v="135085"/>
        <n v="101958"/>
        <n v="60310"/>
        <n v="58645"/>
        <n v="42955"/>
        <n v="40332"/>
        <n v="31675"/>
        <n v="31290"/>
        <n v="238851"/>
        <n v="204080"/>
        <n v="203424"/>
        <n v="145048"/>
        <n v="293326"/>
        <n v="291046"/>
        <n v="258135"/>
        <n v="204564"/>
        <n v="155214"/>
        <n v="130949"/>
        <n v="118343"/>
        <n v="107204"/>
        <n v="14570"/>
        <n v="14008"/>
        <n v="12412"/>
        <n v="187359"/>
        <n v="278974"/>
        <n v="60204"/>
        <n v="197457"/>
        <n v="99639"/>
        <n v="292028"/>
        <n v="272367"/>
        <n v="262793"/>
        <n v="183804"/>
        <n v="114109"/>
        <n v="50621"/>
        <n v="209002"/>
        <n v="139398"/>
        <n v="49442"/>
        <n v="164614"/>
        <n v="285017"/>
        <n v="117201"/>
        <n v="257061"/>
        <n v="152055"/>
        <n v="158418"/>
        <n v="22918"/>
        <n v="15360"/>
        <n v="195575"/>
        <n v="91529"/>
        <n v="67618"/>
        <n v="68970"/>
        <n v="141618"/>
        <n v="252613"/>
        <n v="63755"/>
        <n v="258632"/>
        <n v="7436"/>
        <n v="102611"/>
        <n v="110315"/>
        <n v="2656"/>
        <n v="249424"/>
        <n v="218662"/>
        <n v="247086"/>
        <n v="161037"/>
        <n v="97480"/>
        <n v="230332"/>
        <n v="96578"/>
        <n v="189383"/>
        <n v="75968"/>
        <n v="278815"/>
        <n v="212128"/>
        <n v="257729"/>
        <n v="208225"/>
        <n v="288162"/>
        <n v="275603"/>
        <n v="74002"/>
        <n v="149988"/>
        <n v="163267"/>
        <n v="234925"/>
        <n v="213582"/>
        <n v="17263"/>
        <n v="1945"/>
        <n v="240269"/>
        <n v="214819"/>
        <n v="66292"/>
        <n v="227793"/>
        <n v="128318"/>
        <n v="55848"/>
        <n v="47208"/>
        <n v="16915"/>
        <n v="16372"/>
        <n v="180176"/>
        <n v="188825"/>
        <n v="204725"/>
        <n v="2368"/>
        <n v="187708"/>
        <n v="279735"/>
        <n v="119102"/>
        <n v="123039"/>
        <n v="253873"/>
        <n v="90430"/>
        <n v="93141"/>
        <n v="200448"/>
        <n v="282326"/>
        <n v="32701"/>
        <n v="264505"/>
        <n v="207059"/>
        <n v="36526"/>
        <n v="175824"/>
        <n v="201251"/>
        <n v="232042"/>
        <n v="34336"/>
        <n v="184371"/>
        <n v="128875"/>
        <n v="4980"/>
        <n v="109242"/>
        <n v="71828"/>
        <n v="251944"/>
        <n v="102282"/>
        <n v="203472"/>
        <n v="9967"/>
        <n v="252963"/>
        <n v="166876"/>
        <n v="43258"/>
        <n v="196632"/>
        <n v="272701"/>
        <n v="14812"/>
        <n v="219811"/>
        <n v="235169"/>
        <n v="170324"/>
        <n v="222488"/>
        <n v="220247"/>
        <n v="200519"/>
        <n v="247856"/>
        <n v="59938"/>
        <n v="143213"/>
        <n v="10258"/>
        <n v="255850"/>
        <n v="20944"/>
        <n v="292982"/>
        <n v="201268"/>
        <n v="93893"/>
        <n v="112272"/>
        <n v="215981"/>
        <n v="35267"/>
        <n v="38264"/>
        <n v="72935"/>
        <n v="85861"/>
        <n v="25882"/>
        <n v="69539"/>
        <n v="99655"/>
        <n v="257129"/>
        <n v="196241"/>
        <n v="35405"/>
        <n v="157012"/>
        <n v="293223"/>
        <n v="239250"/>
        <n v="168156"/>
        <n v="149864"/>
        <n v="32633"/>
        <n v="162773"/>
        <n v="282550"/>
        <n v="131600"/>
        <n v="186258"/>
        <n v="258889"/>
        <n v="7693"/>
        <n v="114706"/>
        <n v="260625"/>
        <n v="140167"/>
        <n v="256552"/>
        <n v="239821"/>
        <n v="274993"/>
        <n v="236629"/>
        <n v="208437"/>
        <n v="146105"/>
        <n v="85525"/>
        <n v="244601"/>
        <n v="173498"/>
        <n v="69249"/>
        <n v="246827"/>
        <n v="263087"/>
        <n v="23757"/>
        <n v="173794"/>
        <n v="130112"/>
        <n v="44633"/>
        <n v="112626"/>
        <n v="203699"/>
        <n v="278108"/>
        <n v="125798"/>
        <n v="164136"/>
        <n v="109223"/>
        <n v="209484"/>
        <n v="187427"/>
        <n v="94250"/>
        <n v="179150"/>
        <n v="90244"/>
        <n v="226866"/>
        <n v="29667"/>
        <n v="275292"/>
        <n v="65922"/>
        <n v="3034"/>
        <n v="114410"/>
        <n v="230936"/>
        <n v="96810"/>
        <n v="140986"/>
        <n v="241291"/>
        <n v="136513"/>
        <n v="158628"/>
        <n v="55125"/>
        <n v="113987"/>
        <n v="294292"/>
        <n v="63159"/>
        <n v="69702"/>
        <n v="135979"/>
        <n v="79223"/>
        <n v="217324"/>
        <n v="81489"/>
        <n v="235029"/>
        <n v="295374"/>
        <n v="75007"/>
        <n v="22755"/>
        <n v="66123"/>
        <n v="266437"/>
        <n v="243692"/>
        <n v="242695"/>
        <n v="291999"/>
        <n v="144861"/>
        <n v="287483"/>
        <n v="32391"/>
        <n v="118339"/>
        <n v="266976"/>
        <n v="19654"/>
        <n v="172255"/>
        <n v="160703"/>
        <n v="21250"/>
        <n v="201118"/>
        <n v="281472"/>
        <n v="141944"/>
        <n v="233453"/>
        <n v="156458"/>
        <n v="296659"/>
        <n v="162619"/>
        <n v="105944"/>
        <n v="86283"/>
        <n v="101265"/>
        <n v="52322"/>
        <n v="278750"/>
        <n v="293564"/>
        <n v="68629"/>
        <n v="297363"/>
        <n v="207262"/>
        <n v="52523"/>
        <n v="269762"/>
        <n v="49422"/>
        <n v="175579"/>
        <n v="31310"/>
        <n v="131966"/>
        <n v="251024"/>
        <n v="85457"/>
        <n v="134304"/>
        <n v="216387"/>
        <n v="166626"/>
        <n v="78742"/>
        <n v="156359"/>
        <n v="211334"/>
        <n v="83118"/>
        <n v="165872"/>
        <n v="39637"/>
        <n v="113955"/>
        <n v="140206"/>
        <n v="44699"/>
        <n v="293879"/>
        <n v="195358"/>
        <n v="69875"/>
        <n v="2323"/>
        <n v="283078"/>
        <n v="213741"/>
        <n v="64627"/>
        <n v="98058"/>
        <n v="295469"/>
        <n v="256380"/>
        <n v="56596"/>
        <n v="27844"/>
        <n v="199575"/>
        <n v="54514"/>
        <n v="273910"/>
        <n v="269589"/>
        <n v="146808"/>
        <n v="125235"/>
        <n v="246839"/>
        <n v="204874"/>
        <n v="110656"/>
        <n v="251402"/>
        <n v="164295"/>
        <n v="105370"/>
        <n v="154004"/>
        <n v="114422"/>
        <n v="31125"/>
        <n v="62019"/>
        <n v="289439"/>
        <n v="45441"/>
        <n v="248454"/>
        <n v="221691"/>
        <n v="242630"/>
        <n v="257999"/>
        <n v="232952"/>
        <n v="179490"/>
        <n v="245946"/>
        <n v="69680"/>
        <n v="106461"/>
        <n v="155297"/>
        <n v="278443"/>
        <n v="11596"/>
        <n v="124791"/>
        <n v="160319"/>
        <n v="129209"/>
        <n v="62677"/>
        <n v="273775"/>
        <n v="33611"/>
        <n v="93746"/>
        <n v="130879"/>
        <n v="141856"/>
        <n v="199475"/>
        <n v="117657"/>
        <n v="235272"/>
        <n v="281459"/>
        <n v="164525"/>
        <n v="78412"/>
        <n v="21838"/>
        <n v="296342"/>
        <n v="237987"/>
        <n v="44248"/>
        <n v="71478"/>
        <n v="138879"/>
        <n v="220366"/>
        <n v="269517"/>
        <n v="131252"/>
        <n v="269884"/>
        <n v="64165"/>
        <n v="77862"/>
        <n v="119367"/>
        <n v="24108"/>
        <n v="65667"/>
        <n v="148590"/>
        <n v="120692"/>
        <n v="36964"/>
        <n v="199065"/>
        <n v="57409"/>
        <n v="102781"/>
        <n v="222272"/>
        <n v="153339"/>
        <n v="230466"/>
        <n v="142432"/>
        <n v="247012"/>
        <n v="178268"/>
        <n v="250158"/>
        <n v="259767"/>
        <n v="127074"/>
        <n v="88845"/>
        <n v="2704"/>
        <n v="10599"/>
        <n v="167908"/>
        <n v="217107"/>
        <n v="80757"/>
        <n v="288554"/>
        <n v="295734"/>
        <n v="37003"/>
        <n v="49587"/>
        <n v="135960"/>
        <n v="68663"/>
        <n v="21444"/>
        <n v="152442"/>
        <n v="256970"/>
        <n v="67669"/>
        <n v="293972"/>
        <n v="281114"/>
        <n v="56901"/>
        <n v="106125"/>
        <n v="171463"/>
        <n v="238349"/>
        <n v="170769"/>
        <n v="160365"/>
        <n v="158384"/>
        <n v="158118"/>
        <n v="144299"/>
        <n v="154246"/>
        <n v="182434"/>
        <n v="93034"/>
        <n v="1725"/>
        <n v="259946"/>
        <n v="162855"/>
        <n v="56720"/>
        <n v="199930"/>
        <n v="281504"/>
        <n v="242575"/>
        <n v="219064"/>
        <n v="254320"/>
        <n v="176417"/>
        <n v="11362"/>
        <n v="137517"/>
        <n v="48991"/>
        <n v="51699"/>
        <n v="286557"/>
        <n v="44429"/>
        <n v="44939"/>
        <n v="187140"/>
        <n v="280366"/>
        <n v="112605"/>
        <n v="285963"/>
        <n v="1678"/>
        <n v="266963"/>
        <n v="220443"/>
        <n v="259607"/>
        <n v="188862"/>
        <n v="68818"/>
        <n v="233962"/>
        <n v="200068"/>
        <n v="204309"/>
        <n v="9668"/>
        <n v="15948"/>
        <n v="221482"/>
        <n v="91869"/>
        <n v="131480"/>
        <n v="162138"/>
        <n v="243311"/>
        <n v="85907"/>
        <n v="144513"/>
        <n v="151028"/>
        <n v="14804"/>
        <n v="224643"/>
        <n v="73251"/>
        <n v="277374"/>
        <n v="262571"/>
        <n v="253957"/>
        <n v="76489"/>
        <n v="219808"/>
        <n v="174261"/>
        <n v="292358"/>
        <n v="157277"/>
        <n v="170260"/>
        <n v="92236"/>
        <n v="265985"/>
        <n v="137688"/>
        <n v="26989"/>
        <n v="123754"/>
        <n v="7599"/>
        <n v="54543"/>
        <n v="224027"/>
        <n v="178861"/>
        <n v="145446"/>
        <n v="135236"/>
        <n v="137691"/>
        <n v="123572"/>
        <n v="86642"/>
        <n v="137715"/>
        <n v="284337"/>
        <n v="25496"/>
        <n v="85458"/>
        <n v="15235"/>
        <n v="159928"/>
        <n v="279663"/>
        <n v="196925"/>
        <n v="217528"/>
        <n v="89050"/>
        <n v="176489"/>
        <n v="299491"/>
        <n v="296475"/>
        <n v="85865"/>
        <n v="178244"/>
        <n v="130281"/>
        <n v="277839"/>
        <n v="191529"/>
        <n v="148063"/>
        <n v="160602"/>
        <n v="229262"/>
        <n v="297506"/>
        <n v="218522"/>
        <n v="36797"/>
        <n v="290039"/>
        <n v="276041"/>
        <n v="31695"/>
        <n v="108424"/>
        <n v="271697"/>
        <n v="204627"/>
      </sharedItems>
    </cacheField>
    <cacheField name="Financial Year" numFmtId="0">
      <sharedItems count="3">
        <s v="FY23"/>
        <s v="FY25"/>
        <s v="FY2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6">
  <r>
    <s v="0066700000pziJd"/>
    <x v="0"/>
    <x v="0"/>
    <x v="0"/>
    <x v="0"/>
  </r>
  <r>
    <s v="0066700000rWavr"/>
    <x v="1"/>
    <x v="0"/>
    <x v="1"/>
    <x v="1"/>
  </r>
  <r>
    <s v="0066700000pxStd"/>
    <x v="1"/>
    <x v="0"/>
    <x v="2"/>
    <x v="1"/>
  </r>
  <r>
    <s v="0066700000rXAx7"/>
    <x v="0"/>
    <x v="0"/>
    <x v="3"/>
    <x v="1"/>
  </r>
  <r>
    <s v="0060X00000g4iJR"/>
    <x v="1"/>
    <x v="0"/>
    <x v="4"/>
    <x v="2"/>
  </r>
  <r>
    <s v="0066700000py76P"/>
    <x v="0"/>
    <x v="0"/>
    <x v="5"/>
    <x v="2"/>
  </r>
  <r>
    <s v="0066700000oGCN7"/>
    <x v="0"/>
    <x v="0"/>
    <x v="6"/>
    <x v="2"/>
  </r>
  <r>
    <s v="0066700000rX0Qb"/>
    <x v="0"/>
    <x v="0"/>
    <x v="7"/>
    <x v="1"/>
  </r>
  <r>
    <s v="0066700000pzD1N"/>
    <x v="0"/>
    <x v="0"/>
    <x v="8"/>
    <x v="0"/>
  </r>
  <r>
    <s v="0066700000rXAx8"/>
    <x v="0"/>
    <x v="0"/>
    <x v="9"/>
    <x v="2"/>
  </r>
  <r>
    <s v="0066700000q0jC9"/>
    <x v="1"/>
    <x v="0"/>
    <x v="10"/>
    <x v="1"/>
  </r>
  <r>
    <s v="0060X00000k3ZJA"/>
    <x v="1"/>
    <x v="0"/>
    <x v="11"/>
    <x v="2"/>
  </r>
  <r>
    <s v="0066700000pxngm"/>
    <x v="2"/>
    <x v="0"/>
    <x v="12"/>
    <x v="2"/>
  </r>
  <r>
    <s v="0060X00000k180L"/>
    <x v="1"/>
    <x v="0"/>
    <x v="13"/>
    <x v="0"/>
  </r>
  <r>
    <s v="0066700000rWsN1"/>
    <x v="0"/>
    <x v="0"/>
    <x v="14"/>
    <x v="2"/>
  </r>
  <r>
    <s v="0060X00000k1dq7"/>
    <x v="1"/>
    <x v="0"/>
    <x v="15"/>
    <x v="2"/>
  </r>
  <r>
    <s v="0066700000pyY2x"/>
    <x v="0"/>
    <x v="0"/>
    <x v="16"/>
    <x v="2"/>
  </r>
  <r>
    <s v="0066700000oFnBl"/>
    <x v="1"/>
    <x v="0"/>
    <x v="17"/>
    <x v="1"/>
  </r>
  <r>
    <s v="0060X00000k3dqQ"/>
    <x v="2"/>
    <x v="0"/>
    <x v="18"/>
    <x v="2"/>
  </r>
  <r>
    <s v="0066700000rktRA"/>
    <x v="1"/>
    <x v="0"/>
    <x v="19"/>
    <x v="1"/>
  </r>
  <r>
    <s v="0066700000oFYhJ"/>
    <x v="0"/>
    <x v="0"/>
    <x v="20"/>
    <x v="1"/>
  </r>
  <r>
    <s v="0066700000rkkuk"/>
    <x v="0"/>
    <x v="0"/>
    <x v="21"/>
    <x v="1"/>
  </r>
  <r>
    <s v="0066700000oEa1e"/>
    <x v="1"/>
    <x v="0"/>
    <x v="22"/>
    <x v="1"/>
  </r>
  <r>
    <s v="0066700000rkDJb"/>
    <x v="0"/>
    <x v="0"/>
    <x v="23"/>
    <x v="0"/>
  </r>
  <r>
    <s v="0066700000rkfB8"/>
    <x v="1"/>
    <x v="0"/>
    <x v="24"/>
    <x v="1"/>
  </r>
  <r>
    <s v="0066700000pzD1D"/>
    <x v="0"/>
    <x v="0"/>
    <x v="25"/>
    <x v="2"/>
  </r>
  <r>
    <s v="0066700000rWgug"/>
    <x v="0"/>
    <x v="0"/>
    <x v="26"/>
    <x v="1"/>
  </r>
  <r>
    <s v="0066700000pzAOf"/>
    <x v="0"/>
    <x v="0"/>
    <x v="27"/>
    <x v="1"/>
  </r>
  <r>
    <s v="0060X00000lv0um"/>
    <x v="1"/>
    <x v="0"/>
    <x v="28"/>
    <x v="0"/>
  </r>
  <r>
    <s v="0066700000pzD1O"/>
    <x v="0"/>
    <x v="0"/>
    <x v="29"/>
    <x v="0"/>
  </r>
  <r>
    <s v="0066700000pyxYk"/>
    <x v="2"/>
    <x v="0"/>
    <x v="30"/>
    <x v="0"/>
  </r>
  <r>
    <s v="0060X00000k3jZL"/>
    <x v="1"/>
    <x v="0"/>
    <x v="31"/>
    <x v="0"/>
  </r>
  <r>
    <s v="0060X00000k3jZL"/>
    <x v="1"/>
    <x v="0"/>
    <x v="31"/>
    <x v="2"/>
  </r>
  <r>
    <s v="0066700000oE3xH"/>
    <x v="1"/>
    <x v="0"/>
    <x v="32"/>
    <x v="0"/>
  </r>
  <r>
    <s v="0066700000rjXGY"/>
    <x v="0"/>
    <x v="0"/>
    <x v="33"/>
    <x v="0"/>
  </r>
  <r>
    <s v="0060X00000k1801"/>
    <x v="1"/>
    <x v="0"/>
    <x v="34"/>
    <x v="1"/>
  </r>
  <r>
    <s v="0066700000oF1We"/>
    <x v="0"/>
    <x v="0"/>
    <x v="35"/>
    <x v="1"/>
  </r>
  <r>
    <s v="0066700000q0TMB"/>
    <x v="0"/>
    <x v="0"/>
    <x v="36"/>
    <x v="0"/>
  </r>
  <r>
    <s v="0060X00000k1dpi"/>
    <x v="2"/>
    <x v="0"/>
    <x v="37"/>
    <x v="2"/>
  </r>
  <r>
    <s v="0066700000m0k1x"/>
    <x v="1"/>
    <x v="0"/>
    <x v="38"/>
    <x v="0"/>
  </r>
  <r>
    <s v="0066700000rl5CN"/>
    <x v="0"/>
    <x v="0"/>
    <x v="39"/>
    <x v="1"/>
  </r>
  <r>
    <s v="0060X00000k1Lz3"/>
    <x v="1"/>
    <x v="0"/>
    <x v="40"/>
    <x v="1"/>
  </r>
  <r>
    <s v="0066700000oG9fp"/>
    <x v="0"/>
    <x v="0"/>
    <x v="41"/>
    <x v="1"/>
  </r>
  <r>
    <s v="0066700000oCR0M"/>
    <x v="2"/>
    <x v="0"/>
    <x v="42"/>
    <x v="0"/>
  </r>
  <r>
    <s v="0060X00000lvcni"/>
    <x v="2"/>
    <x v="0"/>
    <x v="43"/>
    <x v="2"/>
  </r>
  <r>
    <s v="0066700000oCPqw"/>
    <x v="1"/>
    <x v="0"/>
    <x v="44"/>
    <x v="1"/>
  </r>
  <r>
    <s v="0066700000pxneq"/>
    <x v="2"/>
    <x v="0"/>
    <x v="45"/>
    <x v="1"/>
  </r>
  <r>
    <s v="0066700000oCq6d"/>
    <x v="1"/>
    <x v="0"/>
    <x v="46"/>
    <x v="2"/>
  </r>
  <r>
    <s v="0060X00000k20Ji"/>
    <x v="2"/>
    <x v="1"/>
    <x v="47"/>
    <x v="2"/>
  </r>
  <r>
    <s v="0060X00000lvKTd"/>
    <x v="2"/>
    <x v="1"/>
    <x v="48"/>
    <x v="1"/>
  </r>
  <r>
    <s v="0060X00000lvT3N"/>
    <x v="2"/>
    <x v="1"/>
    <x v="49"/>
    <x v="2"/>
  </r>
  <r>
    <s v="0066700000oEa1C"/>
    <x v="2"/>
    <x v="1"/>
    <x v="50"/>
    <x v="0"/>
  </r>
  <r>
    <s v="0066700000oEebr"/>
    <x v="2"/>
    <x v="1"/>
    <x v="51"/>
    <x v="0"/>
  </r>
  <r>
    <s v="0066700000oFsCJ"/>
    <x v="2"/>
    <x v="1"/>
    <x v="52"/>
    <x v="1"/>
  </r>
  <r>
    <s v="0066700000oFzb8"/>
    <x v="0"/>
    <x v="1"/>
    <x v="53"/>
    <x v="1"/>
  </r>
  <r>
    <s v="0066700000pxx3s"/>
    <x v="2"/>
    <x v="1"/>
    <x v="54"/>
    <x v="0"/>
  </r>
  <r>
    <s v="0066700000q1KCl"/>
    <x v="2"/>
    <x v="1"/>
    <x v="55"/>
    <x v="1"/>
  </r>
  <r>
    <s v="0066700000q1OKd"/>
    <x v="0"/>
    <x v="1"/>
    <x v="56"/>
    <x v="2"/>
  </r>
  <r>
    <s v="0066700000rjpyO"/>
    <x v="0"/>
    <x v="1"/>
    <x v="57"/>
    <x v="1"/>
  </r>
  <r>
    <s v="0066700000rkBps"/>
    <x v="0"/>
    <x v="1"/>
    <x v="58"/>
    <x v="2"/>
  </r>
  <r>
    <s v="0066700000rkda0"/>
    <x v="0"/>
    <x v="1"/>
    <x v="59"/>
    <x v="2"/>
  </r>
  <r>
    <s v="0066700000rkDgU"/>
    <x v="0"/>
    <x v="1"/>
    <x v="60"/>
    <x v="1"/>
  </r>
  <r>
    <s v="0066700000rklo2"/>
    <x v="0"/>
    <x v="1"/>
    <x v="61"/>
    <x v="0"/>
  </r>
  <r>
    <s v="0066700000rlwAg"/>
    <x v="0"/>
    <x v="1"/>
    <x v="62"/>
    <x v="2"/>
  </r>
  <r>
    <s v="0066700000rXQ05"/>
    <x v="2"/>
    <x v="1"/>
    <x v="63"/>
    <x v="0"/>
  </r>
  <r>
    <s v="0060X00000g6FL0"/>
    <x v="1"/>
    <x v="2"/>
    <x v="64"/>
    <x v="0"/>
  </r>
  <r>
    <s v="0060X00000lvbgL"/>
    <x v="1"/>
    <x v="2"/>
    <x v="65"/>
    <x v="1"/>
  </r>
  <r>
    <s v="0066700000m0UaX"/>
    <x v="2"/>
    <x v="2"/>
    <x v="66"/>
    <x v="1"/>
  </r>
  <r>
    <s v="0066700000oCifQ"/>
    <x v="1"/>
    <x v="2"/>
    <x v="67"/>
    <x v="1"/>
  </r>
  <r>
    <s v="0066700000oD30m"/>
    <x v="0"/>
    <x v="2"/>
    <x v="68"/>
    <x v="1"/>
  </r>
  <r>
    <s v="0066700000oDxn8"/>
    <x v="0"/>
    <x v="2"/>
    <x v="69"/>
    <x v="1"/>
  </r>
  <r>
    <s v="0066700000oEa2i"/>
    <x v="2"/>
    <x v="2"/>
    <x v="70"/>
    <x v="1"/>
  </r>
  <r>
    <s v="0066700000oEnV2"/>
    <x v="0"/>
    <x v="2"/>
    <x v="71"/>
    <x v="1"/>
  </r>
  <r>
    <s v="0066700000oF1NN"/>
    <x v="1"/>
    <x v="2"/>
    <x v="72"/>
    <x v="2"/>
  </r>
  <r>
    <s v="0066700000oFHM7"/>
    <x v="1"/>
    <x v="2"/>
    <x v="73"/>
    <x v="2"/>
  </r>
  <r>
    <s v="0066700000oFkqB"/>
    <x v="2"/>
    <x v="2"/>
    <x v="74"/>
    <x v="0"/>
  </r>
  <r>
    <s v="0066700000oFlFB"/>
    <x v="0"/>
    <x v="2"/>
    <x v="75"/>
    <x v="2"/>
  </r>
  <r>
    <s v="0066700000oFzis"/>
    <x v="1"/>
    <x v="2"/>
    <x v="76"/>
    <x v="0"/>
  </r>
  <r>
    <s v="0066700000oFzlI"/>
    <x v="0"/>
    <x v="2"/>
    <x v="77"/>
    <x v="2"/>
  </r>
  <r>
    <s v="0066700000pxETI"/>
    <x v="0"/>
    <x v="2"/>
    <x v="78"/>
    <x v="0"/>
  </r>
  <r>
    <s v="0066700000pxG58"/>
    <x v="0"/>
    <x v="2"/>
    <x v="79"/>
    <x v="0"/>
  </r>
  <r>
    <s v="0066700000pxPh5"/>
    <x v="0"/>
    <x v="2"/>
    <x v="80"/>
    <x v="1"/>
  </r>
  <r>
    <s v="0066700000pyG7x"/>
    <x v="0"/>
    <x v="2"/>
    <x v="81"/>
    <x v="0"/>
  </r>
  <r>
    <s v="0066700000pyRfR"/>
    <x v="0"/>
    <x v="2"/>
    <x v="82"/>
    <x v="0"/>
  </r>
  <r>
    <s v="0066700000pyRI3"/>
    <x v="1"/>
    <x v="2"/>
    <x v="83"/>
    <x v="1"/>
  </r>
  <r>
    <s v="0066700000pzaKr"/>
    <x v="0"/>
    <x v="2"/>
    <x v="84"/>
    <x v="1"/>
  </r>
  <r>
    <s v="0066700000pzh5B"/>
    <x v="0"/>
    <x v="2"/>
    <x v="85"/>
    <x v="1"/>
  </r>
  <r>
    <s v="0066700000pzvWr"/>
    <x v="0"/>
    <x v="2"/>
    <x v="86"/>
    <x v="2"/>
  </r>
  <r>
    <s v="0066700000pzyY8"/>
    <x v="0"/>
    <x v="2"/>
    <x v="87"/>
    <x v="2"/>
  </r>
  <r>
    <s v="0066700000q03gV"/>
    <x v="0"/>
    <x v="2"/>
    <x v="88"/>
    <x v="2"/>
  </r>
  <r>
    <s v="0066700000q04BS"/>
    <x v="0"/>
    <x v="2"/>
    <x v="89"/>
    <x v="2"/>
  </r>
  <r>
    <s v="0066700000q08c3"/>
    <x v="0"/>
    <x v="2"/>
    <x v="90"/>
    <x v="2"/>
  </r>
  <r>
    <s v="0066700000q0OO9"/>
    <x v="0"/>
    <x v="2"/>
    <x v="91"/>
    <x v="0"/>
  </r>
  <r>
    <s v="0066700000q11y6"/>
    <x v="0"/>
    <x v="2"/>
    <x v="92"/>
    <x v="1"/>
  </r>
  <r>
    <s v="0066700000q1JAj"/>
    <x v="0"/>
    <x v="2"/>
    <x v="93"/>
    <x v="0"/>
  </r>
  <r>
    <s v="0066700000q1PEw"/>
    <x v="0"/>
    <x v="2"/>
    <x v="94"/>
    <x v="0"/>
  </r>
  <r>
    <s v="0066700000rjn8h"/>
    <x v="1"/>
    <x v="2"/>
    <x v="95"/>
    <x v="2"/>
  </r>
  <r>
    <s v="0066700000rjn8i"/>
    <x v="1"/>
    <x v="2"/>
    <x v="96"/>
    <x v="0"/>
  </r>
  <r>
    <s v="0066700000rjSfa"/>
    <x v="0"/>
    <x v="2"/>
    <x v="97"/>
    <x v="1"/>
  </r>
  <r>
    <s v="0066700000rkDgK"/>
    <x v="0"/>
    <x v="2"/>
    <x v="98"/>
    <x v="0"/>
  </r>
  <r>
    <s v="0066700000rkDhQ"/>
    <x v="0"/>
    <x v="2"/>
    <x v="99"/>
    <x v="2"/>
  </r>
  <r>
    <s v="0066700000rkmAC"/>
    <x v="1"/>
    <x v="2"/>
    <x v="100"/>
    <x v="0"/>
  </r>
  <r>
    <s v="0066700000rlciU"/>
    <x v="0"/>
    <x v="2"/>
    <x v="101"/>
    <x v="0"/>
  </r>
  <r>
    <s v="0066700000rlI5T"/>
    <x v="1"/>
    <x v="2"/>
    <x v="102"/>
    <x v="2"/>
  </r>
  <r>
    <s v="0066700000rlMBi"/>
    <x v="1"/>
    <x v="2"/>
    <x v="103"/>
    <x v="0"/>
  </r>
  <r>
    <s v="0066700000rlQtj"/>
    <x v="0"/>
    <x v="2"/>
    <x v="104"/>
    <x v="0"/>
  </r>
  <r>
    <s v="0066700000rVyZz"/>
    <x v="0"/>
    <x v="2"/>
    <x v="105"/>
    <x v="0"/>
  </r>
  <r>
    <s v="0066700000rW67h"/>
    <x v="0"/>
    <x v="2"/>
    <x v="106"/>
    <x v="2"/>
  </r>
  <r>
    <s v="0066700000rW6tr"/>
    <x v="1"/>
    <x v="2"/>
    <x v="107"/>
    <x v="0"/>
  </r>
  <r>
    <s v="0066700000rWdhp"/>
    <x v="0"/>
    <x v="2"/>
    <x v="108"/>
    <x v="1"/>
  </r>
  <r>
    <s v="0066700000rWJ14"/>
    <x v="0"/>
    <x v="2"/>
    <x v="109"/>
    <x v="1"/>
  </r>
  <r>
    <s v="0066700000rWrZW"/>
    <x v="0"/>
    <x v="2"/>
    <x v="110"/>
    <x v="1"/>
  </r>
  <r>
    <s v="0066700000rWSDr"/>
    <x v="0"/>
    <x v="2"/>
    <x v="111"/>
    <x v="2"/>
  </r>
  <r>
    <s v="0066700000rX1wt"/>
    <x v="0"/>
    <x v="2"/>
    <x v="112"/>
    <x v="1"/>
  </r>
  <r>
    <s v="0066700000rX1zm"/>
    <x v="0"/>
    <x v="2"/>
    <x v="113"/>
    <x v="0"/>
  </r>
  <r>
    <s v="0066700000rXOpC"/>
    <x v="0"/>
    <x v="2"/>
    <x v="114"/>
    <x v="2"/>
  </r>
  <r>
    <s v="0066700000oFXq7"/>
    <x v="0"/>
    <x v="3"/>
    <x v="115"/>
    <x v="2"/>
  </r>
  <r>
    <s v="0066700000oDOc2"/>
    <x v="2"/>
    <x v="3"/>
    <x v="116"/>
    <x v="2"/>
  </r>
  <r>
    <s v="0066700000oFFyn"/>
    <x v="2"/>
    <x v="3"/>
    <x v="117"/>
    <x v="0"/>
  </r>
  <r>
    <s v="0066700000q0vqJ"/>
    <x v="1"/>
    <x v="3"/>
    <x v="118"/>
    <x v="0"/>
  </r>
  <r>
    <s v="0066700000pyVHs"/>
    <x v="1"/>
    <x v="3"/>
    <x v="119"/>
    <x v="0"/>
  </r>
  <r>
    <s v="0066700000oGCDv"/>
    <x v="0"/>
    <x v="3"/>
    <x v="120"/>
    <x v="0"/>
  </r>
  <r>
    <s v="0066700000pzx67"/>
    <x v="2"/>
    <x v="3"/>
    <x v="121"/>
    <x v="0"/>
  </r>
  <r>
    <s v="0066700000rX0QH"/>
    <x v="1"/>
    <x v="3"/>
    <x v="122"/>
    <x v="0"/>
  </r>
  <r>
    <s v="0066700000oF3oq"/>
    <x v="0"/>
    <x v="3"/>
    <x v="123"/>
    <x v="0"/>
  </r>
  <r>
    <s v="0066700000rjax5"/>
    <x v="1"/>
    <x v="3"/>
    <x v="124"/>
    <x v="0"/>
  </r>
  <r>
    <s v="0066700000oDsmW"/>
    <x v="2"/>
    <x v="3"/>
    <x v="125"/>
    <x v="0"/>
  </r>
  <r>
    <s v="0066700000pz3Pz"/>
    <x v="1"/>
    <x v="3"/>
    <x v="126"/>
    <x v="0"/>
  </r>
  <r>
    <s v="0066700000oEFPt"/>
    <x v="2"/>
    <x v="3"/>
    <x v="127"/>
    <x v="0"/>
  </r>
  <r>
    <s v="0066700000q0vxh"/>
    <x v="2"/>
    <x v="3"/>
    <x v="128"/>
    <x v="0"/>
  </r>
  <r>
    <s v="0066700000m1YpT"/>
    <x v="2"/>
    <x v="3"/>
    <x v="129"/>
    <x v="0"/>
  </r>
  <r>
    <s v="0066700000pxcaB"/>
    <x v="1"/>
    <x v="3"/>
    <x v="130"/>
    <x v="2"/>
  </r>
  <r>
    <s v="0066700000pxmud"/>
    <x v="1"/>
    <x v="3"/>
    <x v="131"/>
    <x v="2"/>
  </r>
  <r>
    <s v="0066700000rX8Cb"/>
    <x v="0"/>
    <x v="3"/>
    <x v="132"/>
    <x v="2"/>
  </r>
  <r>
    <s v="0066700000rVknn"/>
    <x v="2"/>
    <x v="3"/>
    <x v="133"/>
    <x v="2"/>
  </r>
  <r>
    <s v="0066700000rkSFy"/>
    <x v="1"/>
    <x v="3"/>
    <x v="134"/>
    <x v="1"/>
  </r>
  <r>
    <s v="0066700000rkiox"/>
    <x v="1"/>
    <x v="3"/>
    <x v="135"/>
    <x v="1"/>
  </r>
  <r>
    <s v="0066700000oFD88"/>
    <x v="0"/>
    <x v="3"/>
    <x v="136"/>
    <x v="1"/>
  </r>
  <r>
    <s v="0066700000oF7Pd"/>
    <x v="0"/>
    <x v="3"/>
    <x v="137"/>
    <x v="1"/>
  </r>
  <r>
    <s v="0066700000pynPO"/>
    <x v="1"/>
    <x v="3"/>
    <x v="138"/>
    <x v="1"/>
  </r>
  <r>
    <s v="0066700000rWXUM"/>
    <x v="0"/>
    <x v="3"/>
    <x v="139"/>
    <x v="1"/>
  </r>
  <r>
    <s v="0066700000rjax3"/>
    <x v="1"/>
    <x v="3"/>
    <x v="140"/>
    <x v="1"/>
  </r>
  <r>
    <s v="0066700000rkiux"/>
    <x v="1"/>
    <x v="3"/>
    <x v="141"/>
    <x v="1"/>
  </r>
  <r>
    <s v="0066700000rjax4"/>
    <x v="1"/>
    <x v="3"/>
    <x v="142"/>
    <x v="1"/>
  </r>
  <r>
    <s v="0066700000pxyNu"/>
    <x v="1"/>
    <x v="3"/>
    <x v="143"/>
    <x v="1"/>
  </r>
  <r>
    <s v="0066700000q1Lh0"/>
    <x v="2"/>
    <x v="3"/>
    <x v="144"/>
    <x v="1"/>
  </r>
  <r>
    <s v="0060X00000bXFZX"/>
    <x v="0"/>
    <x v="4"/>
    <x v="145"/>
    <x v="0"/>
  </r>
  <r>
    <s v="0060X00000g8dQO"/>
    <x v="1"/>
    <x v="4"/>
    <x v="146"/>
    <x v="0"/>
  </r>
  <r>
    <s v="0060X00000k0zdm"/>
    <x v="2"/>
    <x v="4"/>
    <x v="147"/>
    <x v="2"/>
  </r>
  <r>
    <s v="0060X00000k12gh"/>
    <x v="0"/>
    <x v="4"/>
    <x v="148"/>
    <x v="1"/>
  </r>
  <r>
    <s v="0060X00000k1ILv"/>
    <x v="0"/>
    <x v="4"/>
    <x v="149"/>
    <x v="2"/>
  </r>
  <r>
    <s v="0060X00000k1WEW"/>
    <x v="0"/>
    <x v="4"/>
    <x v="150"/>
    <x v="0"/>
  </r>
  <r>
    <s v="0060X00000k26S9"/>
    <x v="1"/>
    <x v="4"/>
    <x v="151"/>
    <x v="1"/>
  </r>
  <r>
    <s v="0060X00000k2dPE"/>
    <x v="1"/>
    <x v="4"/>
    <x v="152"/>
    <x v="2"/>
  </r>
  <r>
    <s v="0060X00000k3dJZ"/>
    <x v="2"/>
    <x v="4"/>
    <x v="153"/>
    <x v="1"/>
  </r>
  <r>
    <s v="0060X00000k3rOa"/>
    <x v="0"/>
    <x v="4"/>
    <x v="154"/>
    <x v="1"/>
  </r>
  <r>
    <s v="0060X00000k3WdJ"/>
    <x v="0"/>
    <x v="4"/>
    <x v="155"/>
    <x v="0"/>
  </r>
  <r>
    <s v="0060X00000kX7O6"/>
    <x v="1"/>
    <x v="4"/>
    <x v="156"/>
    <x v="2"/>
  </r>
  <r>
    <s v="0060X00000kXPI8"/>
    <x v="1"/>
    <x v="4"/>
    <x v="157"/>
    <x v="0"/>
  </r>
  <r>
    <s v="0060X00000lueeL"/>
    <x v="1"/>
    <x v="4"/>
    <x v="158"/>
    <x v="1"/>
  </r>
  <r>
    <s v="0060X00000lukzK"/>
    <x v="1"/>
    <x v="4"/>
    <x v="159"/>
    <x v="0"/>
  </r>
  <r>
    <s v="0060X00000lumON"/>
    <x v="0"/>
    <x v="4"/>
    <x v="160"/>
    <x v="1"/>
  </r>
  <r>
    <s v="0060X00000luSd5"/>
    <x v="0"/>
    <x v="4"/>
    <x v="161"/>
    <x v="2"/>
  </r>
  <r>
    <s v="0060X00000luSoe"/>
    <x v="1"/>
    <x v="4"/>
    <x v="162"/>
    <x v="1"/>
  </r>
  <r>
    <s v="0060X00000lyp1b"/>
    <x v="1"/>
    <x v="4"/>
    <x v="163"/>
    <x v="1"/>
  </r>
  <r>
    <s v="0060X00000lyp1C"/>
    <x v="1"/>
    <x v="4"/>
    <x v="164"/>
    <x v="2"/>
  </r>
  <r>
    <s v="0060X00000lz6F6"/>
    <x v="0"/>
    <x v="4"/>
    <x v="165"/>
    <x v="1"/>
  </r>
  <r>
    <s v="0060X00000lzIZd"/>
    <x v="1"/>
    <x v="4"/>
    <x v="166"/>
    <x v="2"/>
  </r>
  <r>
    <s v="0060X00000lzJqZ"/>
    <x v="0"/>
    <x v="4"/>
    <x v="167"/>
    <x v="2"/>
  </r>
  <r>
    <s v="0060X00000lzuzH"/>
    <x v="0"/>
    <x v="4"/>
    <x v="168"/>
    <x v="1"/>
  </r>
  <r>
    <s v="0060X00000m06ta"/>
    <x v="0"/>
    <x v="4"/>
    <x v="169"/>
    <x v="1"/>
  </r>
  <r>
    <s v="0060X00000UtjdX"/>
    <x v="0"/>
    <x v="4"/>
    <x v="170"/>
    <x v="1"/>
  </r>
  <r>
    <s v="0066700000m0k6s"/>
    <x v="1"/>
    <x v="4"/>
    <x v="171"/>
    <x v="2"/>
  </r>
  <r>
    <s v="0066700000m0tb0"/>
    <x v="0"/>
    <x v="4"/>
    <x v="172"/>
    <x v="0"/>
  </r>
  <r>
    <s v="0066700000m0VW9"/>
    <x v="1"/>
    <x v="4"/>
    <x v="173"/>
    <x v="2"/>
  </r>
  <r>
    <s v="0066700000m1cIR"/>
    <x v="1"/>
    <x v="4"/>
    <x v="174"/>
    <x v="1"/>
  </r>
  <r>
    <s v="0066700000m1I5U"/>
    <x v="0"/>
    <x v="4"/>
    <x v="175"/>
    <x v="0"/>
  </r>
  <r>
    <s v="0066700000m1kRI"/>
    <x v="1"/>
    <x v="4"/>
    <x v="176"/>
    <x v="1"/>
  </r>
  <r>
    <s v="0066700000m1l2O"/>
    <x v="0"/>
    <x v="4"/>
    <x v="177"/>
    <x v="0"/>
  </r>
  <r>
    <s v="0066700000m1TwM"/>
    <x v="0"/>
    <x v="4"/>
    <x v="178"/>
    <x v="0"/>
  </r>
  <r>
    <s v="0066700000oCij3"/>
    <x v="2"/>
    <x v="4"/>
    <x v="179"/>
    <x v="1"/>
  </r>
  <r>
    <s v="0066700000oCrrQ"/>
    <x v="0"/>
    <x v="4"/>
    <x v="180"/>
    <x v="1"/>
  </r>
  <r>
    <s v="0066700000oCU1T"/>
    <x v="1"/>
    <x v="4"/>
    <x v="181"/>
    <x v="1"/>
  </r>
  <r>
    <s v="0066700000oCZ2e"/>
    <x v="1"/>
    <x v="4"/>
    <x v="182"/>
    <x v="2"/>
  </r>
  <r>
    <s v="0066700000oD02s"/>
    <x v="0"/>
    <x v="4"/>
    <x v="183"/>
    <x v="2"/>
  </r>
  <r>
    <s v="0066700000oD28U"/>
    <x v="0"/>
    <x v="4"/>
    <x v="184"/>
    <x v="2"/>
  </r>
  <r>
    <s v="0066700000oD2Iy"/>
    <x v="1"/>
    <x v="4"/>
    <x v="185"/>
    <x v="2"/>
  </r>
  <r>
    <s v="0066700000oD39t"/>
    <x v="1"/>
    <x v="4"/>
    <x v="186"/>
    <x v="2"/>
  </r>
  <r>
    <s v="0066700000oDAw3"/>
    <x v="0"/>
    <x v="4"/>
    <x v="187"/>
    <x v="2"/>
  </r>
  <r>
    <s v="0066700000oDc7B"/>
    <x v="2"/>
    <x v="4"/>
    <x v="188"/>
    <x v="2"/>
  </r>
  <r>
    <s v="0066700000oDd9h"/>
    <x v="2"/>
    <x v="4"/>
    <x v="189"/>
    <x v="0"/>
  </r>
  <r>
    <s v="0066700000oDEXJ"/>
    <x v="1"/>
    <x v="4"/>
    <x v="190"/>
    <x v="2"/>
  </r>
  <r>
    <s v="0066700000oDfEL"/>
    <x v="0"/>
    <x v="4"/>
    <x v="191"/>
    <x v="0"/>
  </r>
  <r>
    <s v="0066700000oDL0Q"/>
    <x v="0"/>
    <x v="4"/>
    <x v="192"/>
    <x v="2"/>
  </r>
  <r>
    <s v="0066700000oDNE3"/>
    <x v="0"/>
    <x v="4"/>
    <x v="193"/>
    <x v="1"/>
  </r>
  <r>
    <s v="0066700000oDvUz"/>
    <x v="0"/>
    <x v="4"/>
    <x v="194"/>
    <x v="0"/>
  </r>
  <r>
    <s v="0066700000oDxEJ"/>
    <x v="0"/>
    <x v="4"/>
    <x v="195"/>
    <x v="2"/>
  </r>
  <r>
    <s v="0066700000oDxun"/>
    <x v="0"/>
    <x v="4"/>
    <x v="196"/>
    <x v="2"/>
  </r>
  <r>
    <s v="0066700000oDZ4w"/>
    <x v="0"/>
    <x v="4"/>
    <x v="197"/>
    <x v="1"/>
  </r>
  <r>
    <s v="0066700000oE52I"/>
    <x v="0"/>
    <x v="4"/>
    <x v="198"/>
    <x v="0"/>
  </r>
  <r>
    <s v="0066700000oE83H"/>
    <x v="1"/>
    <x v="4"/>
    <x v="199"/>
    <x v="2"/>
  </r>
  <r>
    <s v="0066700000oE9A9"/>
    <x v="0"/>
    <x v="4"/>
    <x v="200"/>
    <x v="2"/>
  </r>
  <r>
    <s v="0066700000oEa1B"/>
    <x v="1"/>
    <x v="4"/>
    <x v="201"/>
    <x v="2"/>
  </r>
  <r>
    <s v="0066700000oEa1D"/>
    <x v="1"/>
    <x v="4"/>
    <x v="202"/>
    <x v="2"/>
  </r>
  <r>
    <s v="0066700000oEa1f"/>
    <x v="2"/>
    <x v="4"/>
    <x v="203"/>
    <x v="0"/>
  </r>
  <r>
    <s v="0066700000oEa2m"/>
    <x v="1"/>
    <x v="4"/>
    <x v="204"/>
    <x v="0"/>
  </r>
  <r>
    <s v="0066700000oEa2R"/>
    <x v="1"/>
    <x v="4"/>
    <x v="205"/>
    <x v="2"/>
  </r>
  <r>
    <s v="0066700000oEAaS"/>
    <x v="1"/>
    <x v="4"/>
    <x v="206"/>
    <x v="1"/>
  </r>
  <r>
    <s v="0066700000oEbVf"/>
    <x v="3"/>
    <x v="4"/>
    <x v="207"/>
    <x v="2"/>
  </r>
  <r>
    <s v="0066700000oEexd"/>
    <x v="2"/>
    <x v="4"/>
    <x v="208"/>
    <x v="1"/>
  </r>
  <r>
    <s v="0066700000oEftt"/>
    <x v="0"/>
    <x v="4"/>
    <x v="209"/>
    <x v="1"/>
  </r>
  <r>
    <s v="0066700000oEiDC"/>
    <x v="0"/>
    <x v="4"/>
    <x v="210"/>
    <x v="0"/>
  </r>
  <r>
    <s v="0066700000oEj4u"/>
    <x v="0"/>
    <x v="4"/>
    <x v="211"/>
    <x v="2"/>
  </r>
  <r>
    <s v="0066700000oEjQg"/>
    <x v="1"/>
    <x v="4"/>
    <x v="212"/>
    <x v="0"/>
  </r>
  <r>
    <s v="0066700000oEmDK"/>
    <x v="0"/>
    <x v="4"/>
    <x v="213"/>
    <x v="0"/>
  </r>
  <r>
    <s v="0066700000oEmIZ"/>
    <x v="3"/>
    <x v="4"/>
    <x v="214"/>
    <x v="1"/>
  </r>
  <r>
    <s v="0066700000oEN4E"/>
    <x v="1"/>
    <x v="4"/>
    <x v="215"/>
    <x v="2"/>
  </r>
  <r>
    <s v="0066700000oEo2u"/>
    <x v="0"/>
    <x v="4"/>
    <x v="216"/>
    <x v="0"/>
  </r>
  <r>
    <s v="0066700000oEoxC"/>
    <x v="0"/>
    <x v="4"/>
    <x v="217"/>
    <x v="1"/>
  </r>
  <r>
    <s v="0066700000oEQuZ"/>
    <x v="0"/>
    <x v="4"/>
    <x v="218"/>
    <x v="2"/>
  </r>
  <r>
    <s v="0066700000oEReS"/>
    <x v="0"/>
    <x v="4"/>
    <x v="219"/>
    <x v="0"/>
  </r>
  <r>
    <s v="0066700000oEsjy"/>
    <x v="0"/>
    <x v="4"/>
    <x v="220"/>
    <x v="1"/>
  </r>
  <r>
    <s v="0066700000oEtCl"/>
    <x v="2"/>
    <x v="4"/>
    <x v="221"/>
    <x v="1"/>
  </r>
  <r>
    <s v="0066700000oEtWW"/>
    <x v="0"/>
    <x v="4"/>
    <x v="222"/>
    <x v="2"/>
  </r>
  <r>
    <s v="0066700000oEULf"/>
    <x v="0"/>
    <x v="4"/>
    <x v="223"/>
    <x v="0"/>
  </r>
  <r>
    <s v="0066700000oEvyD"/>
    <x v="1"/>
    <x v="4"/>
    <x v="224"/>
    <x v="1"/>
  </r>
  <r>
    <s v="0066700000oEW6C"/>
    <x v="1"/>
    <x v="4"/>
    <x v="225"/>
    <x v="0"/>
  </r>
  <r>
    <s v="0066700000oEwFd"/>
    <x v="0"/>
    <x v="4"/>
    <x v="226"/>
    <x v="2"/>
  </r>
  <r>
    <s v="0066700000oEWUs"/>
    <x v="0"/>
    <x v="4"/>
    <x v="227"/>
    <x v="2"/>
  </r>
  <r>
    <s v="0066700000oEXh2"/>
    <x v="1"/>
    <x v="4"/>
    <x v="228"/>
    <x v="1"/>
  </r>
  <r>
    <s v="0066700000oEXyh"/>
    <x v="0"/>
    <x v="4"/>
    <x v="229"/>
    <x v="0"/>
  </r>
  <r>
    <s v="0066700000oF3Jr"/>
    <x v="1"/>
    <x v="4"/>
    <x v="230"/>
    <x v="1"/>
  </r>
  <r>
    <s v="0066700000oF5ql"/>
    <x v="3"/>
    <x v="4"/>
    <x v="231"/>
    <x v="1"/>
  </r>
  <r>
    <s v="0066700000oF5X7"/>
    <x v="0"/>
    <x v="4"/>
    <x v="232"/>
    <x v="1"/>
  </r>
  <r>
    <s v="0066700000oF66Y"/>
    <x v="0"/>
    <x v="4"/>
    <x v="233"/>
    <x v="2"/>
  </r>
  <r>
    <s v="0066700000oF6FN"/>
    <x v="3"/>
    <x v="4"/>
    <x v="234"/>
    <x v="1"/>
  </r>
  <r>
    <s v="0066700000oF6KB"/>
    <x v="0"/>
    <x v="4"/>
    <x v="235"/>
    <x v="1"/>
  </r>
  <r>
    <s v="0066700000oF6Yh"/>
    <x v="0"/>
    <x v="4"/>
    <x v="236"/>
    <x v="2"/>
  </r>
  <r>
    <s v="0066700000oF77m"/>
    <x v="0"/>
    <x v="4"/>
    <x v="237"/>
    <x v="1"/>
  </r>
  <r>
    <s v="0066700000oF9md"/>
    <x v="0"/>
    <x v="4"/>
    <x v="238"/>
    <x v="0"/>
  </r>
  <r>
    <s v="0066700000oFai9"/>
    <x v="0"/>
    <x v="4"/>
    <x v="239"/>
    <x v="2"/>
  </r>
  <r>
    <s v="0066700000oFBbW"/>
    <x v="1"/>
    <x v="4"/>
    <x v="240"/>
    <x v="0"/>
  </r>
  <r>
    <s v="0066700000oFCkd"/>
    <x v="0"/>
    <x v="4"/>
    <x v="241"/>
    <x v="2"/>
  </r>
  <r>
    <s v="0066700000oFdAo"/>
    <x v="2"/>
    <x v="4"/>
    <x v="242"/>
    <x v="0"/>
  </r>
  <r>
    <s v="0066700000oFEAR"/>
    <x v="0"/>
    <x v="4"/>
    <x v="243"/>
    <x v="1"/>
  </r>
  <r>
    <s v="0066700000oFfiU"/>
    <x v="0"/>
    <x v="4"/>
    <x v="244"/>
    <x v="0"/>
  </r>
  <r>
    <s v="0066700000oFfTu"/>
    <x v="0"/>
    <x v="4"/>
    <x v="245"/>
    <x v="0"/>
  </r>
  <r>
    <s v="0066700000oFgyu"/>
    <x v="1"/>
    <x v="4"/>
    <x v="246"/>
    <x v="0"/>
  </r>
  <r>
    <s v="0066700000oFh7o"/>
    <x v="0"/>
    <x v="4"/>
    <x v="247"/>
    <x v="0"/>
  </r>
  <r>
    <s v="0066700000oFhGW"/>
    <x v="3"/>
    <x v="4"/>
    <x v="248"/>
    <x v="1"/>
  </r>
  <r>
    <s v="0066700000oFidN"/>
    <x v="1"/>
    <x v="4"/>
    <x v="249"/>
    <x v="2"/>
  </r>
  <r>
    <s v="0066700000oFiq8"/>
    <x v="1"/>
    <x v="4"/>
    <x v="250"/>
    <x v="2"/>
  </r>
  <r>
    <s v="0066700000oFJ3u"/>
    <x v="1"/>
    <x v="4"/>
    <x v="251"/>
    <x v="1"/>
  </r>
  <r>
    <s v="0066700000oFKMN"/>
    <x v="0"/>
    <x v="4"/>
    <x v="252"/>
    <x v="1"/>
  </r>
  <r>
    <s v="0066700000oFkpm"/>
    <x v="1"/>
    <x v="4"/>
    <x v="253"/>
    <x v="2"/>
  </r>
  <r>
    <s v="0066700000oFlcU"/>
    <x v="0"/>
    <x v="4"/>
    <x v="254"/>
    <x v="1"/>
  </r>
  <r>
    <s v="0066700000oFlMH"/>
    <x v="0"/>
    <x v="4"/>
    <x v="255"/>
    <x v="2"/>
  </r>
  <r>
    <s v="0066700000oFm6t"/>
    <x v="1"/>
    <x v="4"/>
    <x v="256"/>
    <x v="2"/>
  </r>
  <r>
    <s v="0066700000oFMxn"/>
    <x v="0"/>
    <x v="4"/>
    <x v="257"/>
    <x v="0"/>
  </r>
  <r>
    <s v="0066700000oFNr2"/>
    <x v="0"/>
    <x v="4"/>
    <x v="258"/>
    <x v="0"/>
  </r>
  <r>
    <s v="0066700000oFOCo"/>
    <x v="0"/>
    <x v="4"/>
    <x v="259"/>
    <x v="0"/>
  </r>
  <r>
    <s v="0066700000oFOP9"/>
    <x v="0"/>
    <x v="4"/>
    <x v="260"/>
    <x v="1"/>
  </r>
  <r>
    <s v="0066700000oFpkF"/>
    <x v="0"/>
    <x v="4"/>
    <x v="261"/>
    <x v="2"/>
  </r>
  <r>
    <s v="0066700000oFPYp"/>
    <x v="1"/>
    <x v="4"/>
    <x v="262"/>
    <x v="2"/>
  </r>
  <r>
    <s v="0066700000oFq03"/>
    <x v="0"/>
    <x v="4"/>
    <x v="263"/>
    <x v="2"/>
  </r>
  <r>
    <s v="0066700000oFqB6"/>
    <x v="0"/>
    <x v="4"/>
    <x v="264"/>
    <x v="1"/>
  </r>
  <r>
    <s v="0066700000oFqII"/>
    <x v="3"/>
    <x v="4"/>
    <x v="265"/>
    <x v="1"/>
  </r>
  <r>
    <s v="0066700000oFQlu"/>
    <x v="0"/>
    <x v="4"/>
    <x v="266"/>
    <x v="1"/>
  </r>
  <r>
    <s v="0066700000oFRCq"/>
    <x v="0"/>
    <x v="4"/>
    <x v="267"/>
    <x v="1"/>
  </r>
  <r>
    <s v="0066700000oFTtB"/>
    <x v="0"/>
    <x v="4"/>
    <x v="268"/>
    <x v="0"/>
  </r>
  <r>
    <s v="0066700000oFTwt"/>
    <x v="1"/>
    <x v="4"/>
    <x v="269"/>
    <x v="2"/>
  </r>
  <r>
    <s v="0066700000oFU9F"/>
    <x v="0"/>
    <x v="4"/>
    <x v="270"/>
    <x v="0"/>
  </r>
  <r>
    <s v="0066700000oFUs5"/>
    <x v="0"/>
    <x v="4"/>
    <x v="271"/>
    <x v="2"/>
  </r>
  <r>
    <s v="0066700000oFV5Y"/>
    <x v="1"/>
    <x v="4"/>
    <x v="272"/>
    <x v="0"/>
  </r>
  <r>
    <s v="0066700000oFV8X"/>
    <x v="0"/>
    <x v="4"/>
    <x v="273"/>
    <x v="1"/>
  </r>
  <r>
    <s v="0066700000oFVyf"/>
    <x v="0"/>
    <x v="4"/>
    <x v="274"/>
    <x v="2"/>
  </r>
  <r>
    <s v="0066700000oFwTL"/>
    <x v="1"/>
    <x v="4"/>
    <x v="275"/>
    <x v="1"/>
  </r>
  <r>
    <s v="0066700000oFwzM"/>
    <x v="0"/>
    <x v="4"/>
    <x v="276"/>
    <x v="0"/>
  </r>
  <r>
    <s v="0066700000oFXEr"/>
    <x v="2"/>
    <x v="4"/>
    <x v="277"/>
    <x v="0"/>
  </r>
  <r>
    <s v="0066700000oFXJh"/>
    <x v="3"/>
    <x v="4"/>
    <x v="278"/>
    <x v="1"/>
  </r>
  <r>
    <s v="0066700000oFycA"/>
    <x v="1"/>
    <x v="4"/>
    <x v="279"/>
    <x v="1"/>
  </r>
  <r>
    <s v="0066700000oFzb3"/>
    <x v="0"/>
    <x v="4"/>
    <x v="280"/>
    <x v="2"/>
  </r>
  <r>
    <s v="0066700000oFzky"/>
    <x v="0"/>
    <x v="4"/>
    <x v="281"/>
    <x v="1"/>
  </r>
  <r>
    <s v="0066700000oFZtB"/>
    <x v="3"/>
    <x v="4"/>
    <x v="282"/>
    <x v="1"/>
  </r>
  <r>
    <s v="0066700000oG2qt"/>
    <x v="0"/>
    <x v="4"/>
    <x v="283"/>
    <x v="2"/>
  </r>
  <r>
    <s v="0066700000oG3zh"/>
    <x v="1"/>
    <x v="4"/>
    <x v="284"/>
    <x v="1"/>
  </r>
  <r>
    <s v="0066700000oG4yb"/>
    <x v="0"/>
    <x v="4"/>
    <x v="285"/>
    <x v="2"/>
  </r>
  <r>
    <s v="0066700000oG57E"/>
    <x v="1"/>
    <x v="4"/>
    <x v="286"/>
    <x v="2"/>
  </r>
  <r>
    <s v="0066700000oG6tR"/>
    <x v="2"/>
    <x v="4"/>
    <x v="287"/>
    <x v="2"/>
  </r>
  <r>
    <s v="0066700000oG7Fc"/>
    <x v="0"/>
    <x v="4"/>
    <x v="288"/>
    <x v="0"/>
  </r>
  <r>
    <s v="0066700000oG8A2"/>
    <x v="0"/>
    <x v="4"/>
    <x v="289"/>
    <x v="2"/>
  </r>
  <r>
    <s v="0066700000oG8v0"/>
    <x v="3"/>
    <x v="4"/>
    <x v="290"/>
    <x v="1"/>
  </r>
  <r>
    <s v="0066700000oGBAf"/>
    <x v="0"/>
    <x v="4"/>
    <x v="291"/>
    <x v="2"/>
  </r>
  <r>
    <s v="0066700000oGJOF"/>
    <x v="0"/>
    <x v="4"/>
    <x v="292"/>
    <x v="0"/>
  </r>
  <r>
    <s v="0066700000pxcpV"/>
    <x v="1"/>
    <x v="4"/>
    <x v="293"/>
    <x v="0"/>
  </r>
  <r>
    <s v="0066700000pxd0O"/>
    <x v="0"/>
    <x v="4"/>
    <x v="294"/>
    <x v="0"/>
  </r>
  <r>
    <s v="0066700000pxdHF"/>
    <x v="1"/>
    <x v="4"/>
    <x v="295"/>
    <x v="0"/>
  </r>
  <r>
    <s v="0066700000pxe50"/>
    <x v="0"/>
    <x v="4"/>
    <x v="296"/>
    <x v="0"/>
  </r>
  <r>
    <s v="0066700000pxemi"/>
    <x v="0"/>
    <x v="4"/>
    <x v="297"/>
    <x v="0"/>
  </r>
  <r>
    <s v="0066700000pxHq7"/>
    <x v="1"/>
    <x v="4"/>
    <x v="298"/>
    <x v="0"/>
  </r>
  <r>
    <s v="0066700000pxhsv"/>
    <x v="0"/>
    <x v="4"/>
    <x v="299"/>
    <x v="1"/>
  </r>
  <r>
    <s v="0066700000pxJIu"/>
    <x v="3"/>
    <x v="4"/>
    <x v="300"/>
    <x v="1"/>
  </r>
  <r>
    <s v="0066700000pxK6Q"/>
    <x v="0"/>
    <x v="4"/>
    <x v="301"/>
    <x v="0"/>
  </r>
  <r>
    <s v="0066700000pxKaU"/>
    <x v="1"/>
    <x v="4"/>
    <x v="302"/>
    <x v="1"/>
  </r>
  <r>
    <s v="0066700000pxm2y"/>
    <x v="1"/>
    <x v="4"/>
    <x v="303"/>
    <x v="1"/>
  </r>
  <r>
    <s v="0066700000pxM73"/>
    <x v="0"/>
    <x v="4"/>
    <x v="304"/>
    <x v="1"/>
  </r>
  <r>
    <s v="0066700000pxMbn"/>
    <x v="0"/>
    <x v="4"/>
    <x v="305"/>
    <x v="2"/>
  </r>
  <r>
    <s v="0066700000pxMew"/>
    <x v="0"/>
    <x v="4"/>
    <x v="306"/>
    <x v="1"/>
  </r>
  <r>
    <s v="0066700000pxp5O"/>
    <x v="2"/>
    <x v="4"/>
    <x v="307"/>
    <x v="2"/>
  </r>
  <r>
    <s v="0066700000pxpDm"/>
    <x v="1"/>
    <x v="4"/>
    <x v="308"/>
    <x v="1"/>
  </r>
  <r>
    <s v="0066700000pxqYn"/>
    <x v="1"/>
    <x v="4"/>
    <x v="309"/>
    <x v="2"/>
  </r>
  <r>
    <s v="0066700000pxrOo"/>
    <x v="1"/>
    <x v="4"/>
    <x v="310"/>
    <x v="1"/>
  </r>
  <r>
    <s v="0066700000pxSte"/>
    <x v="0"/>
    <x v="4"/>
    <x v="311"/>
    <x v="2"/>
  </r>
  <r>
    <s v="0066700000pxSug"/>
    <x v="1"/>
    <x v="4"/>
    <x v="312"/>
    <x v="0"/>
  </r>
  <r>
    <s v="0066700000pxSv6"/>
    <x v="0"/>
    <x v="4"/>
    <x v="313"/>
    <x v="2"/>
  </r>
  <r>
    <s v="0066700000pxUDk"/>
    <x v="1"/>
    <x v="4"/>
    <x v="314"/>
    <x v="0"/>
  </r>
  <r>
    <s v="0066700000pxVbR"/>
    <x v="1"/>
    <x v="4"/>
    <x v="315"/>
    <x v="1"/>
  </r>
  <r>
    <s v="0066700000pxvRb"/>
    <x v="0"/>
    <x v="4"/>
    <x v="316"/>
    <x v="1"/>
  </r>
  <r>
    <s v="0066700000pxw4M"/>
    <x v="0"/>
    <x v="4"/>
    <x v="317"/>
    <x v="0"/>
  </r>
  <r>
    <s v="0066700000pxyNk"/>
    <x v="0"/>
    <x v="4"/>
    <x v="318"/>
    <x v="0"/>
  </r>
  <r>
    <s v="0066700000pxZW0"/>
    <x v="1"/>
    <x v="4"/>
    <x v="319"/>
    <x v="0"/>
  </r>
  <r>
    <s v="0066700000py01N"/>
    <x v="0"/>
    <x v="4"/>
    <x v="320"/>
    <x v="2"/>
  </r>
  <r>
    <s v="0066700000py2Ci"/>
    <x v="0"/>
    <x v="4"/>
    <x v="321"/>
    <x v="1"/>
  </r>
  <r>
    <s v="0066700000py3fi"/>
    <x v="0"/>
    <x v="4"/>
    <x v="322"/>
    <x v="2"/>
  </r>
  <r>
    <s v="0066700000py3pP"/>
    <x v="1"/>
    <x v="4"/>
    <x v="323"/>
    <x v="2"/>
  </r>
  <r>
    <s v="0066700000py6fW"/>
    <x v="0"/>
    <x v="4"/>
    <x v="324"/>
    <x v="1"/>
  </r>
  <r>
    <s v="0066700000py89p"/>
    <x v="0"/>
    <x v="4"/>
    <x v="325"/>
    <x v="0"/>
  </r>
  <r>
    <s v="0066700000py8Fr"/>
    <x v="0"/>
    <x v="4"/>
    <x v="326"/>
    <x v="2"/>
  </r>
  <r>
    <s v="0066700000pya23"/>
    <x v="0"/>
    <x v="4"/>
    <x v="327"/>
    <x v="2"/>
  </r>
  <r>
    <s v="0066700000pycKm"/>
    <x v="0"/>
    <x v="4"/>
    <x v="328"/>
    <x v="2"/>
  </r>
  <r>
    <s v="0066700000pyctD"/>
    <x v="0"/>
    <x v="4"/>
    <x v="329"/>
    <x v="0"/>
  </r>
  <r>
    <s v="0066700000pydx9"/>
    <x v="0"/>
    <x v="4"/>
    <x v="330"/>
    <x v="1"/>
  </r>
  <r>
    <s v="0066700000pyE2Q"/>
    <x v="1"/>
    <x v="4"/>
    <x v="331"/>
    <x v="0"/>
  </r>
  <r>
    <s v="0066700000pyENR"/>
    <x v="0"/>
    <x v="4"/>
    <x v="332"/>
    <x v="0"/>
  </r>
  <r>
    <s v="0066700000pyFEk"/>
    <x v="0"/>
    <x v="4"/>
    <x v="333"/>
    <x v="1"/>
  </r>
  <r>
    <s v="0066700000pyFJz"/>
    <x v="1"/>
    <x v="4"/>
    <x v="334"/>
    <x v="1"/>
  </r>
  <r>
    <s v="0066700000pyfxr"/>
    <x v="0"/>
    <x v="4"/>
    <x v="335"/>
    <x v="2"/>
  </r>
  <r>
    <s v="0066700000pyg5W"/>
    <x v="0"/>
    <x v="4"/>
    <x v="336"/>
    <x v="2"/>
  </r>
  <r>
    <s v="0066700000pyHh8"/>
    <x v="1"/>
    <x v="4"/>
    <x v="337"/>
    <x v="1"/>
  </r>
  <r>
    <s v="0066700000pyIeU"/>
    <x v="3"/>
    <x v="4"/>
    <x v="338"/>
    <x v="1"/>
  </r>
  <r>
    <s v="0066700000pyKar"/>
    <x v="3"/>
    <x v="4"/>
    <x v="339"/>
    <x v="2"/>
  </r>
  <r>
    <s v="0066700000pylKk"/>
    <x v="1"/>
    <x v="4"/>
    <x v="340"/>
    <x v="0"/>
  </r>
  <r>
    <s v="0066700000pyme2"/>
    <x v="0"/>
    <x v="4"/>
    <x v="341"/>
    <x v="2"/>
  </r>
  <r>
    <s v="0066700000pyn5X"/>
    <x v="0"/>
    <x v="4"/>
    <x v="342"/>
    <x v="0"/>
  </r>
  <r>
    <s v="0066700000pypEy"/>
    <x v="2"/>
    <x v="4"/>
    <x v="343"/>
    <x v="2"/>
  </r>
  <r>
    <s v="0066700000pyPI9"/>
    <x v="0"/>
    <x v="4"/>
    <x v="344"/>
    <x v="0"/>
  </r>
  <r>
    <s v="0066700000pyPIY"/>
    <x v="0"/>
    <x v="4"/>
    <x v="345"/>
    <x v="0"/>
  </r>
  <r>
    <s v="0066700000pyPIZ"/>
    <x v="0"/>
    <x v="4"/>
    <x v="346"/>
    <x v="1"/>
  </r>
  <r>
    <s v="0066700000pyRIQ"/>
    <x v="1"/>
    <x v="4"/>
    <x v="347"/>
    <x v="0"/>
  </r>
  <r>
    <s v="0066700000pySdx"/>
    <x v="1"/>
    <x v="4"/>
    <x v="348"/>
    <x v="0"/>
  </r>
  <r>
    <s v="0066700000pysgu"/>
    <x v="1"/>
    <x v="4"/>
    <x v="349"/>
    <x v="1"/>
  </r>
  <r>
    <s v="0066700000pySs5"/>
    <x v="0"/>
    <x v="4"/>
    <x v="350"/>
    <x v="1"/>
  </r>
  <r>
    <s v="0066700000pyt3K"/>
    <x v="0"/>
    <x v="4"/>
    <x v="351"/>
    <x v="1"/>
  </r>
  <r>
    <s v="0066700000pytB4"/>
    <x v="1"/>
    <x v="4"/>
    <x v="352"/>
    <x v="2"/>
  </r>
  <r>
    <s v="0066700000pytC9"/>
    <x v="1"/>
    <x v="4"/>
    <x v="353"/>
    <x v="1"/>
  </r>
  <r>
    <s v="0066700000pytwH"/>
    <x v="0"/>
    <x v="4"/>
    <x v="354"/>
    <x v="1"/>
  </r>
  <r>
    <s v="0066700000pyUPb"/>
    <x v="0"/>
    <x v="4"/>
    <x v="355"/>
    <x v="2"/>
  </r>
  <r>
    <s v="0066700000pyUur"/>
    <x v="0"/>
    <x v="4"/>
    <x v="356"/>
    <x v="2"/>
  </r>
  <r>
    <s v="0066700000pywhQ"/>
    <x v="1"/>
    <x v="4"/>
    <x v="357"/>
    <x v="2"/>
  </r>
  <r>
    <s v="0066700000pyWSI"/>
    <x v="1"/>
    <x v="4"/>
    <x v="358"/>
    <x v="1"/>
  </r>
  <r>
    <s v="0066700000pywUq"/>
    <x v="0"/>
    <x v="4"/>
    <x v="359"/>
    <x v="0"/>
  </r>
  <r>
    <s v="0066700000pyxYp"/>
    <x v="3"/>
    <x v="4"/>
    <x v="360"/>
    <x v="1"/>
  </r>
  <r>
    <s v="0066700000pyyDi"/>
    <x v="0"/>
    <x v="4"/>
    <x v="361"/>
    <x v="0"/>
  </r>
  <r>
    <s v="0066700000pyZdS"/>
    <x v="0"/>
    <x v="4"/>
    <x v="362"/>
    <x v="1"/>
  </r>
  <r>
    <s v="0066700000pyZFz"/>
    <x v="1"/>
    <x v="4"/>
    <x v="363"/>
    <x v="2"/>
  </r>
  <r>
    <s v="0066700000pyzhQ"/>
    <x v="3"/>
    <x v="4"/>
    <x v="364"/>
    <x v="1"/>
  </r>
  <r>
    <s v="0066700000pz1f9"/>
    <x v="0"/>
    <x v="4"/>
    <x v="365"/>
    <x v="0"/>
  </r>
  <r>
    <s v="0066700000pz2Sk"/>
    <x v="0"/>
    <x v="4"/>
    <x v="366"/>
    <x v="0"/>
  </r>
  <r>
    <s v="0066700000pz2Z7"/>
    <x v="0"/>
    <x v="4"/>
    <x v="367"/>
    <x v="0"/>
  </r>
  <r>
    <s v="0066700000pz4KQ"/>
    <x v="0"/>
    <x v="4"/>
    <x v="368"/>
    <x v="2"/>
  </r>
  <r>
    <s v="0066700000pz4Nt"/>
    <x v="0"/>
    <x v="4"/>
    <x v="369"/>
    <x v="0"/>
  </r>
  <r>
    <s v="0066700000pz9NS"/>
    <x v="0"/>
    <x v="4"/>
    <x v="370"/>
    <x v="0"/>
  </r>
  <r>
    <s v="0066700000pzaJK"/>
    <x v="1"/>
    <x v="4"/>
    <x v="371"/>
    <x v="2"/>
  </r>
  <r>
    <s v="0066700000pzcu5"/>
    <x v="0"/>
    <x v="4"/>
    <x v="372"/>
    <x v="2"/>
  </r>
  <r>
    <s v="0066700000pzE1Q"/>
    <x v="1"/>
    <x v="4"/>
    <x v="373"/>
    <x v="0"/>
  </r>
  <r>
    <s v="0066700000pzEAc"/>
    <x v="0"/>
    <x v="4"/>
    <x v="374"/>
    <x v="1"/>
  </r>
  <r>
    <s v="0066700000pzEQl"/>
    <x v="0"/>
    <x v="4"/>
    <x v="375"/>
    <x v="1"/>
  </r>
  <r>
    <s v="0066700000pzf3u"/>
    <x v="1"/>
    <x v="4"/>
    <x v="376"/>
    <x v="1"/>
  </r>
  <r>
    <s v="0066700000pzh2H"/>
    <x v="0"/>
    <x v="4"/>
    <x v="377"/>
    <x v="2"/>
  </r>
  <r>
    <s v="0066700000pzhdD"/>
    <x v="1"/>
    <x v="4"/>
    <x v="378"/>
    <x v="1"/>
  </r>
  <r>
    <s v="0066700000pzhgq"/>
    <x v="0"/>
    <x v="4"/>
    <x v="379"/>
    <x v="0"/>
  </r>
  <r>
    <s v="0066700000pzhgW"/>
    <x v="0"/>
    <x v="4"/>
    <x v="380"/>
    <x v="1"/>
  </r>
  <r>
    <s v="0066700000pzI8R"/>
    <x v="0"/>
    <x v="4"/>
    <x v="381"/>
    <x v="2"/>
  </r>
  <r>
    <s v="0066700000pziAg"/>
    <x v="0"/>
    <x v="4"/>
    <x v="382"/>
    <x v="0"/>
  </r>
  <r>
    <s v="0066700000pzjhW"/>
    <x v="3"/>
    <x v="4"/>
    <x v="383"/>
    <x v="0"/>
  </r>
  <r>
    <s v="0066700000pzJl1"/>
    <x v="1"/>
    <x v="4"/>
    <x v="384"/>
    <x v="2"/>
  </r>
  <r>
    <s v="0066700000pzJnb"/>
    <x v="0"/>
    <x v="4"/>
    <x v="385"/>
    <x v="0"/>
  </r>
  <r>
    <s v="0066700000pzjYU"/>
    <x v="3"/>
    <x v="4"/>
    <x v="386"/>
    <x v="2"/>
  </r>
  <r>
    <s v="0066700000pzKKG"/>
    <x v="3"/>
    <x v="4"/>
    <x v="387"/>
    <x v="1"/>
  </r>
  <r>
    <s v="0066700000pzKOr"/>
    <x v="0"/>
    <x v="4"/>
    <x v="388"/>
    <x v="1"/>
  </r>
  <r>
    <s v="0066700000pzkv1"/>
    <x v="1"/>
    <x v="4"/>
    <x v="389"/>
    <x v="0"/>
  </r>
  <r>
    <s v="0066700000pzl3j"/>
    <x v="0"/>
    <x v="4"/>
    <x v="390"/>
    <x v="0"/>
  </r>
  <r>
    <s v="0066700000pzLFl"/>
    <x v="1"/>
    <x v="4"/>
    <x v="391"/>
    <x v="0"/>
  </r>
  <r>
    <s v="0066700000pzlHP"/>
    <x v="1"/>
    <x v="4"/>
    <x v="392"/>
    <x v="2"/>
  </r>
  <r>
    <s v="0066700000pzmAE"/>
    <x v="0"/>
    <x v="4"/>
    <x v="393"/>
    <x v="2"/>
  </r>
  <r>
    <s v="0066700000pzmn6"/>
    <x v="0"/>
    <x v="4"/>
    <x v="394"/>
    <x v="1"/>
  </r>
  <r>
    <s v="0066700000pzmx6"/>
    <x v="0"/>
    <x v="4"/>
    <x v="395"/>
    <x v="1"/>
  </r>
  <r>
    <s v="0066700000pzrU9"/>
    <x v="0"/>
    <x v="4"/>
    <x v="396"/>
    <x v="2"/>
  </r>
  <r>
    <s v="0066700000pzs1G"/>
    <x v="0"/>
    <x v="4"/>
    <x v="397"/>
    <x v="2"/>
  </r>
  <r>
    <s v="0066700000pzs9k"/>
    <x v="0"/>
    <x v="4"/>
    <x v="398"/>
    <x v="2"/>
  </r>
  <r>
    <s v="0066700000pzTzg"/>
    <x v="3"/>
    <x v="4"/>
    <x v="399"/>
    <x v="2"/>
  </r>
  <r>
    <s v="0066700000pzUPg"/>
    <x v="0"/>
    <x v="4"/>
    <x v="400"/>
    <x v="0"/>
  </r>
  <r>
    <s v="0066700000pzycY"/>
    <x v="0"/>
    <x v="4"/>
    <x v="401"/>
    <x v="1"/>
  </r>
  <r>
    <s v="0066700000pzYGn"/>
    <x v="0"/>
    <x v="4"/>
    <x v="402"/>
    <x v="0"/>
  </r>
  <r>
    <s v="0066700000pzZDV"/>
    <x v="1"/>
    <x v="4"/>
    <x v="403"/>
    <x v="1"/>
  </r>
  <r>
    <s v="0066700000pzZTT"/>
    <x v="0"/>
    <x v="4"/>
    <x v="404"/>
    <x v="0"/>
  </r>
  <r>
    <s v="0066700000q008Q"/>
    <x v="1"/>
    <x v="4"/>
    <x v="405"/>
    <x v="1"/>
  </r>
  <r>
    <s v="0066700000q01eZ"/>
    <x v="0"/>
    <x v="4"/>
    <x v="406"/>
    <x v="2"/>
  </r>
  <r>
    <s v="0066700000q01lu"/>
    <x v="0"/>
    <x v="4"/>
    <x v="407"/>
    <x v="1"/>
  </r>
  <r>
    <s v="0066700000q02x3"/>
    <x v="0"/>
    <x v="4"/>
    <x v="408"/>
    <x v="1"/>
  </r>
  <r>
    <s v="0066700000q06SQ"/>
    <x v="0"/>
    <x v="4"/>
    <x v="409"/>
    <x v="2"/>
  </r>
  <r>
    <s v="0066700000q07VL"/>
    <x v="1"/>
    <x v="4"/>
    <x v="410"/>
    <x v="0"/>
  </r>
  <r>
    <s v="0066700000q0acd"/>
    <x v="0"/>
    <x v="4"/>
    <x v="411"/>
    <x v="0"/>
  </r>
  <r>
    <s v="0066700000q0BEN"/>
    <x v="0"/>
    <x v="4"/>
    <x v="412"/>
    <x v="2"/>
  </r>
  <r>
    <s v="0066700000q0Bmt"/>
    <x v="0"/>
    <x v="4"/>
    <x v="413"/>
    <x v="0"/>
  </r>
  <r>
    <s v="0066700000q0CQu"/>
    <x v="0"/>
    <x v="4"/>
    <x v="414"/>
    <x v="0"/>
  </r>
  <r>
    <s v="0066700000q0D9z"/>
    <x v="3"/>
    <x v="4"/>
    <x v="415"/>
    <x v="1"/>
  </r>
  <r>
    <s v="0066700000q0D9z"/>
    <x v="3"/>
    <x v="4"/>
    <x v="415"/>
    <x v="0"/>
  </r>
  <r>
    <s v="0066700000q0DcD"/>
    <x v="0"/>
    <x v="4"/>
    <x v="416"/>
    <x v="2"/>
  </r>
  <r>
    <s v="0066700000q0fYP"/>
    <x v="0"/>
    <x v="4"/>
    <x v="417"/>
    <x v="0"/>
  </r>
  <r>
    <s v="0066700000q0gyk"/>
    <x v="0"/>
    <x v="4"/>
    <x v="418"/>
    <x v="1"/>
  </r>
  <r>
    <s v="0066700000q0hdh"/>
    <x v="1"/>
    <x v="4"/>
    <x v="419"/>
    <x v="2"/>
  </r>
  <r>
    <s v="0066700000q0i3M"/>
    <x v="3"/>
    <x v="4"/>
    <x v="420"/>
    <x v="1"/>
  </r>
  <r>
    <s v="0066700000q0Jij"/>
    <x v="2"/>
    <x v="4"/>
    <x v="421"/>
    <x v="1"/>
  </r>
  <r>
    <s v="0066700000q0JV6"/>
    <x v="0"/>
    <x v="4"/>
    <x v="422"/>
    <x v="0"/>
  </r>
  <r>
    <s v="0066700000q0JYt"/>
    <x v="0"/>
    <x v="4"/>
    <x v="423"/>
    <x v="2"/>
  </r>
  <r>
    <s v="0066700000q0KsM"/>
    <x v="0"/>
    <x v="4"/>
    <x v="424"/>
    <x v="0"/>
  </r>
  <r>
    <s v="0066700000q0L9g"/>
    <x v="0"/>
    <x v="4"/>
    <x v="425"/>
    <x v="2"/>
  </r>
  <r>
    <s v="0066700000q0LcE"/>
    <x v="1"/>
    <x v="4"/>
    <x v="426"/>
    <x v="1"/>
  </r>
  <r>
    <s v="0066700000q0mNW"/>
    <x v="0"/>
    <x v="4"/>
    <x v="427"/>
    <x v="1"/>
  </r>
  <r>
    <s v="0066700000q0n5k"/>
    <x v="0"/>
    <x v="4"/>
    <x v="428"/>
    <x v="0"/>
  </r>
  <r>
    <s v="0066700000q0Ogg"/>
    <x v="3"/>
    <x v="4"/>
    <x v="429"/>
    <x v="0"/>
  </r>
  <r>
    <s v="0066700000q0smb"/>
    <x v="0"/>
    <x v="4"/>
    <x v="430"/>
    <x v="0"/>
  </r>
  <r>
    <s v="0066700000q0sqi"/>
    <x v="0"/>
    <x v="4"/>
    <x v="431"/>
    <x v="2"/>
  </r>
  <r>
    <s v="0066700000q0sWi"/>
    <x v="1"/>
    <x v="4"/>
    <x v="432"/>
    <x v="0"/>
  </r>
  <r>
    <s v="0066700000q0VAM"/>
    <x v="0"/>
    <x v="4"/>
    <x v="433"/>
    <x v="0"/>
  </r>
  <r>
    <s v="0066700000q0XCU"/>
    <x v="1"/>
    <x v="4"/>
    <x v="434"/>
    <x v="1"/>
  </r>
  <r>
    <s v="0066700000q0YeF"/>
    <x v="0"/>
    <x v="4"/>
    <x v="435"/>
    <x v="2"/>
  </r>
  <r>
    <s v="0066700000q0yLK"/>
    <x v="0"/>
    <x v="4"/>
    <x v="436"/>
    <x v="2"/>
  </r>
  <r>
    <s v="0066700000q12eb"/>
    <x v="1"/>
    <x v="4"/>
    <x v="437"/>
    <x v="1"/>
  </r>
  <r>
    <s v="0066700000q14Q8"/>
    <x v="3"/>
    <x v="4"/>
    <x v="438"/>
    <x v="0"/>
  </r>
  <r>
    <s v="0066700000q164B"/>
    <x v="0"/>
    <x v="4"/>
    <x v="439"/>
    <x v="2"/>
  </r>
  <r>
    <s v="0066700000q1713"/>
    <x v="0"/>
    <x v="4"/>
    <x v="440"/>
    <x v="2"/>
  </r>
  <r>
    <s v="0066700000q184U"/>
    <x v="0"/>
    <x v="4"/>
    <x v="441"/>
    <x v="0"/>
  </r>
  <r>
    <s v="0066700000q191d"/>
    <x v="1"/>
    <x v="4"/>
    <x v="442"/>
    <x v="2"/>
  </r>
  <r>
    <s v="0066700000q1Bt4"/>
    <x v="0"/>
    <x v="4"/>
    <x v="443"/>
    <x v="1"/>
  </r>
  <r>
    <s v="0066700000q1BtE"/>
    <x v="0"/>
    <x v="4"/>
    <x v="444"/>
    <x v="0"/>
  </r>
  <r>
    <s v="0066700000q1Cqk"/>
    <x v="0"/>
    <x v="4"/>
    <x v="445"/>
    <x v="1"/>
  </r>
  <r>
    <s v="0066700000q1Fdl"/>
    <x v="0"/>
    <x v="4"/>
    <x v="446"/>
    <x v="0"/>
  </r>
  <r>
    <s v="0066700000q1Fgf"/>
    <x v="0"/>
    <x v="4"/>
    <x v="447"/>
    <x v="0"/>
  </r>
  <r>
    <s v="0066700000q1Gmx"/>
    <x v="0"/>
    <x v="4"/>
    <x v="448"/>
    <x v="1"/>
  </r>
  <r>
    <s v="0066700000q1NoD"/>
    <x v="0"/>
    <x v="4"/>
    <x v="449"/>
    <x v="1"/>
  </r>
  <r>
    <s v="0066700000q1PdS"/>
    <x v="1"/>
    <x v="4"/>
    <x v="450"/>
    <x v="1"/>
  </r>
  <r>
    <s v="0066700000rja3K"/>
    <x v="1"/>
    <x v="4"/>
    <x v="451"/>
    <x v="1"/>
  </r>
  <r>
    <s v="0066700000rjc58"/>
    <x v="0"/>
    <x v="4"/>
    <x v="452"/>
    <x v="2"/>
  </r>
  <r>
    <s v="0066700000rjjDj"/>
    <x v="0"/>
    <x v="4"/>
    <x v="453"/>
    <x v="1"/>
  </r>
  <r>
    <s v="0066700000rjjme"/>
    <x v="1"/>
    <x v="4"/>
    <x v="454"/>
    <x v="2"/>
  </r>
  <r>
    <s v="0066700000rjksV"/>
    <x v="0"/>
    <x v="4"/>
    <x v="455"/>
    <x v="2"/>
  </r>
  <r>
    <s v="0066700000rjkvT"/>
    <x v="0"/>
    <x v="4"/>
    <x v="456"/>
    <x v="2"/>
  </r>
  <r>
    <s v="0066700000rjlAs"/>
    <x v="0"/>
    <x v="4"/>
    <x v="457"/>
    <x v="2"/>
  </r>
  <r>
    <s v="0066700000rjmJV"/>
    <x v="0"/>
    <x v="4"/>
    <x v="458"/>
    <x v="0"/>
  </r>
  <r>
    <s v="0066700000rjnAi"/>
    <x v="1"/>
    <x v="4"/>
    <x v="459"/>
    <x v="2"/>
  </r>
  <r>
    <s v="0066700000rjpjn"/>
    <x v="0"/>
    <x v="4"/>
    <x v="460"/>
    <x v="0"/>
  </r>
  <r>
    <s v="0066700000rjqGc"/>
    <x v="0"/>
    <x v="4"/>
    <x v="461"/>
    <x v="2"/>
  </r>
  <r>
    <s v="0066700000rjqhP"/>
    <x v="0"/>
    <x v="4"/>
    <x v="462"/>
    <x v="1"/>
  </r>
  <r>
    <s v="0066700000rjRoo"/>
    <x v="0"/>
    <x v="4"/>
    <x v="463"/>
    <x v="0"/>
  </r>
  <r>
    <s v="0066700000rjRQh"/>
    <x v="1"/>
    <x v="4"/>
    <x v="464"/>
    <x v="1"/>
  </r>
  <r>
    <s v="0066700000rjRRp"/>
    <x v="1"/>
    <x v="4"/>
    <x v="465"/>
    <x v="1"/>
  </r>
  <r>
    <s v="0066700000rjsP3"/>
    <x v="0"/>
    <x v="4"/>
    <x v="466"/>
    <x v="0"/>
  </r>
  <r>
    <s v="0066700000rjTvA"/>
    <x v="1"/>
    <x v="4"/>
    <x v="467"/>
    <x v="2"/>
  </r>
  <r>
    <s v="0066700000rjTXN"/>
    <x v="0"/>
    <x v="4"/>
    <x v="468"/>
    <x v="1"/>
  </r>
  <r>
    <s v="0066700000rjvkT"/>
    <x v="0"/>
    <x v="4"/>
    <x v="469"/>
    <x v="2"/>
  </r>
  <r>
    <s v="0066700000rjWhw"/>
    <x v="0"/>
    <x v="4"/>
    <x v="470"/>
    <x v="2"/>
  </r>
  <r>
    <s v="0066700000rjWS1"/>
    <x v="0"/>
    <x v="4"/>
    <x v="471"/>
    <x v="2"/>
  </r>
  <r>
    <s v="0066700000rjx1k"/>
    <x v="0"/>
    <x v="4"/>
    <x v="472"/>
    <x v="0"/>
  </r>
  <r>
    <s v="0066700000rjxuY"/>
    <x v="0"/>
    <x v="4"/>
    <x v="473"/>
    <x v="0"/>
  </r>
  <r>
    <s v="0066700000rjyEb"/>
    <x v="0"/>
    <x v="4"/>
    <x v="474"/>
    <x v="2"/>
  </r>
  <r>
    <s v="0066700000rjYw0"/>
    <x v="0"/>
    <x v="4"/>
    <x v="475"/>
    <x v="1"/>
  </r>
  <r>
    <s v="0066700000rjzNU"/>
    <x v="0"/>
    <x v="4"/>
    <x v="476"/>
    <x v="2"/>
  </r>
  <r>
    <s v="0066700000rk0bc"/>
    <x v="0"/>
    <x v="4"/>
    <x v="477"/>
    <x v="1"/>
  </r>
  <r>
    <s v="0066700000rk1bs"/>
    <x v="0"/>
    <x v="4"/>
    <x v="478"/>
    <x v="1"/>
  </r>
  <r>
    <s v="0066700000rk5R0"/>
    <x v="1"/>
    <x v="4"/>
    <x v="479"/>
    <x v="0"/>
  </r>
  <r>
    <s v="0066700000rk883"/>
    <x v="0"/>
    <x v="4"/>
    <x v="480"/>
    <x v="2"/>
  </r>
  <r>
    <s v="0066700000rk8tb"/>
    <x v="0"/>
    <x v="4"/>
    <x v="481"/>
    <x v="0"/>
  </r>
  <r>
    <s v="0066700000rkAnN"/>
    <x v="1"/>
    <x v="4"/>
    <x v="482"/>
    <x v="2"/>
  </r>
  <r>
    <s v="0066700000rkB9c"/>
    <x v="0"/>
    <x v="4"/>
    <x v="483"/>
    <x v="1"/>
  </r>
  <r>
    <s v="0066700000rkbXk"/>
    <x v="0"/>
    <x v="4"/>
    <x v="484"/>
    <x v="1"/>
  </r>
  <r>
    <s v="0066700000rkCAg"/>
    <x v="1"/>
    <x v="4"/>
    <x v="485"/>
    <x v="0"/>
  </r>
  <r>
    <s v="0066700000rkDgF"/>
    <x v="0"/>
    <x v="4"/>
    <x v="486"/>
    <x v="1"/>
  </r>
  <r>
    <s v="0066700000rkDhb"/>
    <x v="0"/>
    <x v="4"/>
    <x v="487"/>
    <x v="2"/>
  </r>
  <r>
    <s v="0066700000rkDhv"/>
    <x v="0"/>
    <x v="4"/>
    <x v="488"/>
    <x v="0"/>
  </r>
  <r>
    <s v="0066700000rkDhx"/>
    <x v="0"/>
    <x v="4"/>
    <x v="489"/>
    <x v="1"/>
  </r>
  <r>
    <s v="0066700000rkDi4"/>
    <x v="1"/>
    <x v="4"/>
    <x v="490"/>
    <x v="1"/>
  </r>
  <r>
    <s v="0066700000rkDiJ"/>
    <x v="0"/>
    <x v="4"/>
    <x v="491"/>
    <x v="2"/>
  </r>
  <r>
    <s v="0066700000rkfeE"/>
    <x v="1"/>
    <x v="4"/>
    <x v="492"/>
    <x v="1"/>
  </r>
  <r>
    <s v="0066700000rkfO2"/>
    <x v="0"/>
    <x v="4"/>
    <x v="493"/>
    <x v="2"/>
  </r>
  <r>
    <s v="0066700000rkfZi"/>
    <x v="0"/>
    <x v="4"/>
    <x v="494"/>
    <x v="1"/>
  </r>
  <r>
    <s v="0066700000rkg9C"/>
    <x v="0"/>
    <x v="4"/>
    <x v="495"/>
    <x v="1"/>
  </r>
  <r>
    <s v="0066700000rkikM"/>
    <x v="1"/>
    <x v="4"/>
    <x v="496"/>
    <x v="0"/>
  </r>
  <r>
    <s v="0066700000rkjDS"/>
    <x v="0"/>
    <x v="4"/>
    <x v="497"/>
    <x v="1"/>
  </r>
  <r>
    <s v="0066700000rkK7q"/>
    <x v="0"/>
    <x v="4"/>
    <x v="498"/>
    <x v="1"/>
  </r>
  <r>
    <s v="0066700000rklbE"/>
    <x v="0"/>
    <x v="4"/>
    <x v="499"/>
    <x v="1"/>
  </r>
  <r>
    <s v="0066700000rkOg3"/>
    <x v="1"/>
    <x v="4"/>
    <x v="500"/>
    <x v="1"/>
  </r>
  <r>
    <s v="0066700000rkp7I"/>
    <x v="0"/>
    <x v="4"/>
    <x v="501"/>
    <x v="1"/>
  </r>
  <r>
    <s v="0066700000rkPjl"/>
    <x v="0"/>
    <x v="4"/>
    <x v="502"/>
    <x v="2"/>
  </r>
  <r>
    <s v="0066700000rkS1m"/>
    <x v="0"/>
    <x v="4"/>
    <x v="503"/>
    <x v="1"/>
  </r>
  <r>
    <s v="0066700000rkvK5"/>
    <x v="0"/>
    <x v="4"/>
    <x v="504"/>
    <x v="1"/>
  </r>
  <r>
    <s v="0066700000rkvWX"/>
    <x v="0"/>
    <x v="4"/>
    <x v="505"/>
    <x v="2"/>
  </r>
  <r>
    <s v="0066700000rkX8d"/>
    <x v="1"/>
    <x v="4"/>
    <x v="506"/>
    <x v="1"/>
  </r>
  <r>
    <s v="0066700000rkXmT"/>
    <x v="1"/>
    <x v="4"/>
    <x v="507"/>
    <x v="0"/>
  </r>
  <r>
    <s v="0066700000rkxxX"/>
    <x v="0"/>
    <x v="4"/>
    <x v="508"/>
    <x v="2"/>
  </r>
  <r>
    <s v="0066700000rkxyL"/>
    <x v="0"/>
    <x v="4"/>
    <x v="509"/>
    <x v="0"/>
  </r>
  <r>
    <s v="0066700000rkY8n"/>
    <x v="0"/>
    <x v="4"/>
    <x v="510"/>
    <x v="2"/>
  </r>
  <r>
    <s v="0066700000rl1bO"/>
    <x v="0"/>
    <x v="4"/>
    <x v="511"/>
    <x v="0"/>
  </r>
  <r>
    <s v="0066700000rl7Pn"/>
    <x v="0"/>
    <x v="4"/>
    <x v="512"/>
    <x v="0"/>
  </r>
  <r>
    <s v="0066700000rl9uB"/>
    <x v="0"/>
    <x v="4"/>
    <x v="513"/>
    <x v="0"/>
  </r>
  <r>
    <s v="0066700000rlAJ6"/>
    <x v="0"/>
    <x v="4"/>
    <x v="514"/>
    <x v="1"/>
  </r>
  <r>
    <s v="0066700000rlCky"/>
    <x v="0"/>
    <x v="4"/>
    <x v="515"/>
    <x v="0"/>
  </r>
  <r>
    <s v="0066700000rldif"/>
    <x v="0"/>
    <x v="4"/>
    <x v="516"/>
    <x v="0"/>
  </r>
  <r>
    <s v="0066700000rlfBO"/>
    <x v="0"/>
    <x v="4"/>
    <x v="517"/>
    <x v="1"/>
  </r>
  <r>
    <s v="0066700000rlfEX"/>
    <x v="0"/>
    <x v="4"/>
    <x v="518"/>
    <x v="1"/>
  </r>
  <r>
    <s v="0066700000rlHxs"/>
    <x v="0"/>
    <x v="4"/>
    <x v="519"/>
    <x v="1"/>
  </r>
  <r>
    <s v="0066700000rlKBa"/>
    <x v="1"/>
    <x v="4"/>
    <x v="520"/>
    <x v="1"/>
  </r>
  <r>
    <s v="0066700000rlKd4"/>
    <x v="1"/>
    <x v="4"/>
    <x v="521"/>
    <x v="1"/>
  </r>
  <r>
    <s v="0066700000rlkWx"/>
    <x v="0"/>
    <x v="4"/>
    <x v="522"/>
    <x v="2"/>
  </r>
  <r>
    <s v="0066700000rlOSL"/>
    <x v="0"/>
    <x v="4"/>
    <x v="523"/>
    <x v="1"/>
  </r>
  <r>
    <s v="0066700000rlPi6"/>
    <x v="1"/>
    <x v="4"/>
    <x v="524"/>
    <x v="2"/>
  </r>
  <r>
    <s v="0066700000rlQbV"/>
    <x v="0"/>
    <x v="4"/>
    <x v="525"/>
    <x v="1"/>
  </r>
  <r>
    <s v="0066700000rlQnW"/>
    <x v="0"/>
    <x v="4"/>
    <x v="526"/>
    <x v="0"/>
  </r>
  <r>
    <s v="0066700000rlR1O"/>
    <x v="0"/>
    <x v="4"/>
    <x v="527"/>
    <x v="0"/>
  </r>
  <r>
    <s v="0066700000rlTVo"/>
    <x v="0"/>
    <x v="4"/>
    <x v="528"/>
    <x v="2"/>
  </r>
  <r>
    <s v="0066700000rlUS8"/>
    <x v="0"/>
    <x v="4"/>
    <x v="529"/>
    <x v="0"/>
  </r>
  <r>
    <s v="0066700000rlVTW"/>
    <x v="0"/>
    <x v="4"/>
    <x v="530"/>
    <x v="2"/>
  </r>
  <r>
    <s v="0066700000rm3jp"/>
    <x v="0"/>
    <x v="4"/>
    <x v="531"/>
    <x v="1"/>
  </r>
  <r>
    <s v="0066700000rm415"/>
    <x v="1"/>
    <x v="4"/>
    <x v="532"/>
    <x v="1"/>
  </r>
  <r>
    <s v="0066700000rm5GR"/>
    <x v="0"/>
    <x v="4"/>
    <x v="533"/>
    <x v="0"/>
  </r>
  <r>
    <s v="0066700000rm6yJ"/>
    <x v="1"/>
    <x v="4"/>
    <x v="534"/>
    <x v="0"/>
  </r>
  <r>
    <s v="0066700000rmEme"/>
    <x v="1"/>
    <x v="4"/>
    <x v="535"/>
    <x v="1"/>
  </r>
  <r>
    <s v="0066700000rVk9N"/>
    <x v="0"/>
    <x v="4"/>
    <x v="536"/>
    <x v="1"/>
  </r>
  <r>
    <s v="0066700000rVlzL"/>
    <x v="0"/>
    <x v="4"/>
    <x v="537"/>
    <x v="2"/>
  </r>
  <r>
    <s v="0066700000rVm2u"/>
    <x v="2"/>
    <x v="4"/>
    <x v="538"/>
    <x v="1"/>
  </r>
  <r>
    <s v="0066700000rVmG2"/>
    <x v="0"/>
    <x v="4"/>
    <x v="539"/>
    <x v="0"/>
  </r>
  <r>
    <s v="0066700000rVmGg"/>
    <x v="0"/>
    <x v="4"/>
    <x v="540"/>
    <x v="2"/>
  </r>
  <r>
    <s v="0066700000rVtug"/>
    <x v="1"/>
    <x v="4"/>
    <x v="541"/>
    <x v="2"/>
  </r>
  <r>
    <s v="0066700000rVuwS"/>
    <x v="0"/>
    <x v="4"/>
    <x v="542"/>
    <x v="0"/>
  </r>
  <r>
    <s v="0066700000rVwJJ"/>
    <x v="0"/>
    <x v="4"/>
    <x v="543"/>
    <x v="2"/>
  </r>
  <r>
    <s v="0066700000rW6W3"/>
    <x v="0"/>
    <x v="4"/>
    <x v="544"/>
    <x v="1"/>
  </r>
  <r>
    <s v="0066700000rW6Wh"/>
    <x v="1"/>
    <x v="4"/>
    <x v="545"/>
    <x v="0"/>
  </r>
  <r>
    <s v="0066700000rWA2t"/>
    <x v="0"/>
    <x v="4"/>
    <x v="546"/>
    <x v="0"/>
  </r>
  <r>
    <s v="0066700000rWBae"/>
    <x v="1"/>
    <x v="4"/>
    <x v="547"/>
    <x v="1"/>
  </r>
  <r>
    <s v="0066700000rWbIg"/>
    <x v="0"/>
    <x v="4"/>
    <x v="548"/>
    <x v="1"/>
  </r>
  <r>
    <s v="0066700000rWCKh"/>
    <x v="0"/>
    <x v="4"/>
    <x v="549"/>
    <x v="1"/>
  </r>
  <r>
    <s v="0066700000rWdbc"/>
    <x v="0"/>
    <x v="4"/>
    <x v="550"/>
    <x v="1"/>
  </r>
  <r>
    <s v="0066700000rWdHv"/>
    <x v="0"/>
    <x v="4"/>
    <x v="551"/>
    <x v="1"/>
  </r>
  <r>
    <s v="0066700000rWEeA"/>
    <x v="0"/>
    <x v="4"/>
    <x v="552"/>
    <x v="2"/>
  </r>
  <r>
    <s v="0066700000rWejH"/>
    <x v="0"/>
    <x v="4"/>
    <x v="553"/>
    <x v="1"/>
  </r>
  <r>
    <s v="0066700000rWEnl"/>
    <x v="0"/>
    <x v="4"/>
    <x v="554"/>
    <x v="2"/>
  </r>
  <r>
    <s v="0066700000rWErO"/>
    <x v="0"/>
    <x v="4"/>
    <x v="555"/>
    <x v="1"/>
  </r>
  <r>
    <s v="0066700000rWIhl"/>
    <x v="0"/>
    <x v="4"/>
    <x v="556"/>
    <x v="1"/>
  </r>
  <r>
    <s v="0066700000rWiMv"/>
    <x v="0"/>
    <x v="4"/>
    <x v="557"/>
    <x v="2"/>
  </r>
  <r>
    <s v="0066700000rWIX7"/>
    <x v="0"/>
    <x v="4"/>
    <x v="558"/>
    <x v="2"/>
  </r>
  <r>
    <s v="0066700000rWKVb"/>
    <x v="0"/>
    <x v="4"/>
    <x v="559"/>
    <x v="1"/>
  </r>
  <r>
    <s v="0066700000rWLCV"/>
    <x v="0"/>
    <x v="4"/>
    <x v="560"/>
    <x v="2"/>
  </r>
  <r>
    <s v="0066700000rWLUe"/>
    <x v="0"/>
    <x v="4"/>
    <x v="561"/>
    <x v="0"/>
  </r>
  <r>
    <s v="0066700000rWQdE"/>
    <x v="2"/>
    <x v="4"/>
    <x v="562"/>
    <x v="2"/>
  </r>
  <r>
    <s v="0066700000rWqe2"/>
    <x v="1"/>
    <x v="4"/>
    <x v="563"/>
    <x v="0"/>
  </r>
  <r>
    <s v="0066700000rWQmV"/>
    <x v="2"/>
    <x v="4"/>
    <x v="564"/>
    <x v="0"/>
  </r>
  <r>
    <s v="0066700000rWQQl"/>
    <x v="0"/>
    <x v="4"/>
    <x v="565"/>
    <x v="0"/>
  </r>
  <r>
    <s v="0066700000rWQX6"/>
    <x v="0"/>
    <x v="4"/>
    <x v="566"/>
    <x v="1"/>
  </r>
  <r>
    <s v="0066700000rWSN3"/>
    <x v="0"/>
    <x v="4"/>
    <x v="567"/>
    <x v="0"/>
  </r>
  <r>
    <s v="0066700000rWSOp"/>
    <x v="0"/>
    <x v="4"/>
    <x v="568"/>
    <x v="1"/>
  </r>
  <r>
    <s v="0066700000rWUTC"/>
    <x v="1"/>
    <x v="4"/>
    <x v="569"/>
    <x v="2"/>
  </r>
  <r>
    <s v="0066700000rWW6Y"/>
    <x v="0"/>
    <x v="4"/>
    <x v="570"/>
    <x v="0"/>
  </r>
  <r>
    <s v="0066700000rWx8I"/>
    <x v="1"/>
    <x v="4"/>
    <x v="571"/>
    <x v="1"/>
  </r>
  <r>
    <s v="0066700000rWxMA"/>
    <x v="0"/>
    <x v="4"/>
    <x v="572"/>
    <x v="1"/>
  </r>
  <r>
    <s v="0066700000rWyzh"/>
    <x v="0"/>
    <x v="4"/>
    <x v="573"/>
    <x v="1"/>
  </r>
  <r>
    <s v="0066700000rWZ7Y"/>
    <x v="0"/>
    <x v="4"/>
    <x v="193"/>
    <x v="2"/>
  </r>
  <r>
    <s v="0066700000rWZBP"/>
    <x v="0"/>
    <x v="4"/>
    <x v="574"/>
    <x v="2"/>
  </r>
  <r>
    <s v="0066700000rX07h"/>
    <x v="0"/>
    <x v="4"/>
    <x v="575"/>
    <x v="2"/>
  </r>
  <r>
    <s v="0066700000rX1bf"/>
    <x v="0"/>
    <x v="4"/>
    <x v="576"/>
    <x v="1"/>
  </r>
  <r>
    <s v="0066700000rX1Xx"/>
    <x v="0"/>
    <x v="4"/>
    <x v="577"/>
    <x v="2"/>
  </r>
  <r>
    <s v="0066700000rX1Yq"/>
    <x v="0"/>
    <x v="4"/>
    <x v="578"/>
    <x v="1"/>
  </r>
  <r>
    <s v="0066700000rX24P"/>
    <x v="0"/>
    <x v="4"/>
    <x v="579"/>
    <x v="2"/>
  </r>
  <r>
    <s v="0066700000rX72a"/>
    <x v="1"/>
    <x v="4"/>
    <x v="580"/>
    <x v="0"/>
  </r>
  <r>
    <s v="0066700000rX7TH"/>
    <x v="0"/>
    <x v="4"/>
    <x v="581"/>
    <x v="2"/>
  </r>
  <r>
    <s v="0066700000rX7VZ"/>
    <x v="0"/>
    <x v="4"/>
    <x v="582"/>
    <x v="2"/>
  </r>
  <r>
    <s v="0066700000rXAPw"/>
    <x v="1"/>
    <x v="4"/>
    <x v="583"/>
    <x v="0"/>
  </r>
  <r>
    <s v="0066700000rXAUm"/>
    <x v="0"/>
    <x v="4"/>
    <x v="584"/>
    <x v="1"/>
  </r>
  <r>
    <s v="0066700000rXCgI"/>
    <x v="0"/>
    <x v="4"/>
    <x v="585"/>
    <x v="0"/>
  </r>
  <r>
    <s v="0066700000rXCnd"/>
    <x v="0"/>
    <x v="4"/>
    <x v="586"/>
    <x v="0"/>
  </r>
  <r>
    <s v="0066700000rXDe3"/>
    <x v="0"/>
    <x v="4"/>
    <x v="587"/>
    <x v="0"/>
  </r>
  <r>
    <s v="0066700000rXEjT"/>
    <x v="0"/>
    <x v="4"/>
    <x v="588"/>
    <x v="2"/>
  </r>
  <r>
    <s v="0066700000rXH18"/>
    <x v="0"/>
    <x v="4"/>
    <x v="589"/>
    <x v="1"/>
  </r>
  <r>
    <s v="0066700000rXI3o"/>
    <x v="2"/>
    <x v="4"/>
    <x v="590"/>
    <x v="2"/>
  </r>
  <r>
    <s v="0066700000rXJKl"/>
    <x v="0"/>
    <x v="4"/>
    <x v="591"/>
    <x v="2"/>
  </r>
  <r>
    <s v="0066700000rXKML"/>
    <x v="1"/>
    <x v="4"/>
    <x v="592"/>
    <x v="1"/>
  </r>
  <r>
    <s v="0066700000rXL73"/>
    <x v="0"/>
    <x v="4"/>
    <x v="593"/>
    <x v="0"/>
  </r>
  <r>
    <s v="0066700000rXNL1"/>
    <x v="0"/>
    <x v="4"/>
    <x v="594"/>
    <x v="2"/>
  </r>
  <r>
    <s v="0066700000rXNvn"/>
    <x v="0"/>
    <x v="4"/>
    <x v="595"/>
    <x v="2"/>
  </r>
  <r>
    <s v="0066700000rXOW0"/>
    <x v="0"/>
    <x v="4"/>
    <x v="596"/>
    <x v="2"/>
  </r>
  <r>
    <s v="0066700000rXTK3"/>
    <x v="0"/>
    <x v="4"/>
    <x v="597"/>
    <x v="0"/>
  </r>
  <r>
    <s v="0066700000rXUjs"/>
    <x v="0"/>
    <x v="4"/>
    <x v="598"/>
    <x v="0"/>
  </r>
  <r>
    <s v="0066700000rXUKT"/>
    <x v="1"/>
    <x v="4"/>
    <x v="599"/>
    <x v="2"/>
  </r>
  <r>
    <s v="0066700000rXUST"/>
    <x v="0"/>
    <x v="4"/>
    <x v="600"/>
    <x v="2"/>
  </r>
  <r>
    <s v="0066700000rXUWj"/>
    <x v="1"/>
    <x v="4"/>
    <x v="601"/>
    <x v="0"/>
  </r>
  <r>
    <s v="0066700000rXVVS"/>
    <x v="1"/>
    <x v="4"/>
    <x v="60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B489D2-1756-45CD-A38C-08C8ABC09427}" name="PivotTable8" cacheId="2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5" rowHeaderCaption="FY">
  <location ref="A25:D29" firstHeaderRow="0" firstDataRow="1" firstDataCol="1"/>
  <pivotFields count="5">
    <pivotField dataField="1" compact="0" outline="0" showAll="0"/>
    <pivotField axis="axisRow" compact="0" outline="0" showAll="0" sortType="descending">
      <items count="5">
        <item x="1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outline="0" showAll="0"/>
    <pivotField dataField="1" compact="0" numFmtId="165" outline="0" showAll="0"/>
    <pivotField compact="0" outline="0" showAll="0">
      <items count="4">
        <item x="0"/>
        <item x="2"/>
        <item x="1"/>
        <item t="default"/>
      </items>
    </pivotField>
  </pivotFields>
  <rowFields count="1">
    <field x="1"/>
  </rowFields>
  <rowItems count="4">
    <i>
      <x v="1"/>
    </i>
    <i>
      <x/>
    </i>
    <i>
      <x v="2"/>
    </i>
    <i>
      <x v="3"/>
    </i>
  </rowItems>
  <colFields count="1">
    <field x="-2"/>
  </colFields>
  <colItems count="3">
    <i>
      <x/>
    </i>
    <i i="1">
      <x v="1"/>
    </i>
    <i i="2">
      <x v="2"/>
    </i>
  </colItems>
  <dataFields count="3">
    <dataField name="No. of Contract IDs" fld="0" subtotal="count" baseField="0" baseItem="0"/>
    <dataField name="Sum of Revenue (£)" fld="3" baseField="0" baseItem="0" numFmtId="167"/>
    <dataField name="% of Revenue (£)" fld="3" showDataAs="percentOfTotal" baseField="1" baseItem="2" numFmtId="166"/>
  </dataFields>
  <formats count="5">
    <format dxfId="8">
      <pivotArea outline="0" collapsedLevelsAreSubtotals="1" fieldPosition="0"/>
    </format>
    <format dxfId="7">
      <pivotArea outline="0" fieldPosition="0">
        <references count="1">
          <reference field="4294967294" count="1">
            <x v="2"/>
          </reference>
        </references>
      </pivotArea>
    </format>
    <format dxfId="6">
      <pivotArea outline="0" fieldPosition="0">
        <references count="1">
          <reference field="4294967294" count="1">
            <x v="1"/>
          </reference>
        </references>
      </pivotArea>
    </format>
    <format dxfId="5">
      <pivotArea outline="0" collapsedLevelsAreSubtotals="1" fieldPosition="0"/>
    </format>
    <format dxfId="4">
      <pivotArea dataOnly="0" labelOnly="1" outline="0" fieldPosition="0">
        <references count="1">
          <reference field="1" count="0"/>
        </references>
      </pivotArea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3F888F-9C5F-4D8F-96F7-686A5DA8C4BD}" name="PivotTable6" cacheId="26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rowHeaderCaption="BU">
  <location ref="A14:C20" firstHeaderRow="0" firstDataRow="1" firstDataCol="1"/>
  <pivotFields count="5">
    <pivotField dataField="1"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numFmtId="165" showAll="0"/>
    <pivotField showAll="0">
      <items count="4">
        <item x="0"/>
        <item x="2"/>
        <item x="1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Revenue (%)" fld="3" showDataAs="percentOfTotal" baseField="0" baseItem="0" numFmtId="10"/>
    <dataField name="Contracts" fld="0" subtotal="count" baseField="0" baseItem="0"/>
  </dataFields>
  <formats count="8">
    <format dxfId="16">
      <pivotArea outline="0" collapsedLevelsAreSubtotals="1" fieldPosition="0"/>
    </format>
    <format dxfId="1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">
      <pivotArea outline="0" fieldPosition="0">
        <references count="1">
          <reference field="4294967294" count="1">
            <x v="0"/>
          </reference>
        </references>
      </pivotArea>
    </format>
    <format dxfId="12">
      <pivotArea dataOnly="0" labelOnly="1" fieldPosition="0">
        <references count="1">
          <reference field="2" count="0"/>
        </references>
      </pivotArea>
    </format>
    <format dxfId="11">
      <pivotArea field="2" type="button" dataOnly="0" labelOnly="1" outline="0" axis="axisRow" fieldPosition="0"/>
    </format>
    <format dxfId="10">
      <pivotArea collapsedLevelsAreSubtotals="1" fieldPosition="0">
        <references count="1">
          <reference field="2" count="0"/>
        </references>
      </pivotArea>
    </format>
    <format dxfId="9">
      <pivotArea dataOnly="0" labelOnly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F2ED20-18D2-41F7-87FF-C7B3FF774CC1}" name="RevXFY" cacheId="2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FY">
  <location ref="A5:B8" firstHeaderRow="1" firstDataRow="1" firstDataCol="1"/>
  <pivotFields count="5">
    <pivotField showAll="0"/>
    <pivotField showAll="0"/>
    <pivotField showAll="0"/>
    <pivotField dataField="1" numFmtId="165" showAll="0"/>
    <pivotField axis="axisRow" showAll="0">
      <items count="4">
        <item x="0"/>
        <item x="2"/>
        <item x="1"/>
        <item t="default"/>
      </items>
    </pivotField>
  </pivotFields>
  <rowFields count="1">
    <field x="4"/>
  </rowFields>
  <rowItems count="3">
    <i>
      <x/>
    </i>
    <i>
      <x v="1"/>
    </i>
    <i>
      <x v="2"/>
    </i>
  </rowItems>
  <colItems count="1">
    <i/>
  </colItems>
  <dataFields count="1">
    <dataField name="Sum of Revenue (£)" fld="3" baseField="0" baseItem="0" numFmtId="167"/>
  </dataFields>
  <formats count="5">
    <format dxfId="21">
      <pivotArea outline="0" collapsedLevelsAreSubtotals="1" fieldPosition="0"/>
    </format>
    <format dxfId="20">
      <pivotArea dataOnly="0" labelOnly="1" fieldPosition="0">
        <references count="1">
          <reference field="4" count="0"/>
        </references>
      </pivotArea>
    </format>
    <format dxfId="19">
      <pivotArea field="4" type="button" dataOnly="0" labelOnly="1" outline="0" axis="axisRow" fieldPosition="0"/>
    </format>
    <format dxfId="18">
      <pivotArea outline="0" collapsedLevelsAreSubtotals="1" fieldPosition="0"/>
    </format>
    <format dxfId="17">
      <pivotArea dataOnly="0" labelOnly="1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FD41C-574D-4AF2-82E0-C1A04FB88453}">
  <sheetPr>
    <tabColor rgb="FFCCCCCC"/>
  </sheetPr>
  <dimension ref="A1:E14"/>
  <sheetViews>
    <sheetView showGridLines="0" tabSelected="1" zoomScale="235" zoomScaleNormal="235" workbookViewId="0">
      <selection activeCell="C3" sqref="C3"/>
    </sheetView>
  </sheetViews>
  <sheetFormatPr defaultColWidth="12.5703125" defaultRowHeight="15.75" customHeight="1"/>
  <cols>
    <col min="1" max="1" width="6.5703125" customWidth="1"/>
    <col min="2" max="2" width="10.85546875" customWidth="1"/>
    <col min="3" max="3" width="82.42578125" customWidth="1"/>
  </cols>
  <sheetData>
    <row r="1" spans="1:5" ht="12.75">
      <c r="A1" s="1"/>
      <c r="B1" s="1"/>
      <c r="C1" s="1"/>
      <c r="D1" s="1"/>
      <c r="E1" s="1"/>
    </row>
    <row r="2" spans="1:5" ht="15.75" customHeight="1">
      <c r="A2" s="1"/>
      <c r="B2" s="2" t="s">
        <v>679</v>
      </c>
      <c r="C2" s="3"/>
      <c r="D2" s="1"/>
      <c r="E2" s="1"/>
    </row>
    <row r="3" spans="1:5" ht="15">
      <c r="A3" s="1"/>
      <c r="B3" s="3"/>
      <c r="C3" s="3"/>
      <c r="D3" s="1"/>
      <c r="E3" s="1"/>
    </row>
    <row r="4" spans="1:5" ht="15.75" customHeight="1">
      <c r="A4" s="1"/>
      <c r="B4" s="57" t="s">
        <v>680</v>
      </c>
      <c r="C4" s="58"/>
      <c r="D4" s="1"/>
      <c r="E4" s="1"/>
    </row>
    <row r="5" spans="1:5" ht="12.75">
      <c r="A5" s="1"/>
      <c r="B5" s="4" t="s">
        <v>681</v>
      </c>
      <c r="D5" s="1"/>
      <c r="E5" s="1"/>
    </row>
    <row r="6" spans="1:5" ht="12.75">
      <c r="A6" s="1"/>
      <c r="B6" s="4" t="s">
        <v>682</v>
      </c>
      <c r="D6" s="1"/>
      <c r="E6" s="1"/>
    </row>
    <row r="7" spans="1:5" ht="12.75">
      <c r="A7" s="1"/>
      <c r="B7" s="4" t="s">
        <v>683</v>
      </c>
      <c r="D7" s="1"/>
      <c r="E7" s="1"/>
    </row>
    <row r="8" spans="1:5" ht="12.75">
      <c r="A8" s="1"/>
      <c r="B8" s="5"/>
      <c r="C8" s="1"/>
      <c r="D8" s="1"/>
      <c r="E8" s="1"/>
    </row>
    <row r="9" spans="1:5" ht="15.75" customHeight="1">
      <c r="A9" s="1"/>
      <c r="B9" s="57" t="s">
        <v>0</v>
      </c>
      <c r="C9" s="58"/>
      <c r="D9" s="1"/>
      <c r="E9" s="1"/>
    </row>
    <row r="10" spans="1:5" ht="12.75">
      <c r="A10" s="1"/>
      <c r="B10" s="4" t="s">
        <v>684</v>
      </c>
      <c r="D10" s="1"/>
      <c r="E10" s="1"/>
    </row>
    <row r="11" spans="1:5" ht="12.75">
      <c r="A11" s="1"/>
      <c r="B11" s="4" t="s">
        <v>685</v>
      </c>
      <c r="D11" s="1"/>
      <c r="E11" s="1"/>
    </row>
    <row r="12" spans="1:5" ht="12.75">
      <c r="A12" s="1"/>
      <c r="B12" s="4" t="s">
        <v>686</v>
      </c>
      <c r="D12" s="1"/>
      <c r="E12" s="1"/>
    </row>
    <row r="13" spans="1:5" ht="12.75">
      <c r="A13" s="1"/>
      <c r="B13" s="4"/>
      <c r="D13" s="1"/>
      <c r="E13" s="1"/>
    </row>
    <row r="14" spans="1:5" ht="12.75">
      <c r="A14" s="1"/>
      <c r="B14" s="1"/>
      <c r="C14" s="1"/>
      <c r="D14" s="1"/>
      <c r="E14" s="1"/>
    </row>
  </sheetData>
  <mergeCells count="2">
    <mergeCell ref="B4:C4"/>
    <mergeCell ref="B9:C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CCCCC"/>
    <outlinePr summaryBelow="0" summaryRight="0"/>
  </sheetPr>
  <dimension ref="A1:R631"/>
  <sheetViews>
    <sheetView showGridLines="0" workbookViewId="0">
      <pane ySplit="2" topLeftCell="A3" activePane="bottomLeft" state="frozen"/>
      <selection pane="bottomLeft" activeCell="N21" sqref="N21"/>
    </sheetView>
  </sheetViews>
  <sheetFormatPr defaultColWidth="12.5703125" defaultRowHeight="15.75" customHeight="1"/>
  <cols>
    <col min="1" max="1" width="19" customWidth="1"/>
    <col min="3" max="3" width="11.42578125" customWidth="1"/>
    <col min="4" max="4" width="11.28515625" customWidth="1"/>
    <col min="13" max="13" width="13.5703125" customWidth="1"/>
    <col min="17" max="17" width="12.5703125" customWidth="1"/>
    <col min="18" max="18" width="11.7109375" hidden="1" customWidth="1"/>
  </cols>
  <sheetData>
    <row r="1" spans="1:18" ht="15.75" customHeight="1">
      <c r="A1" s="63" t="s">
        <v>638</v>
      </c>
      <c r="B1" s="63"/>
      <c r="C1" s="63"/>
      <c r="D1" s="63"/>
      <c r="E1" s="63"/>
      <c r="F1" s="64" t="s">
        <v>645</v>
      </c>
      <c r="G1" s="64"/>
      <c r="H1" s="64"/>
      <c r="I1" s="64"/>
      <c r="J1" s="64"/>
      <c r="K1" s="64"/>
      <c r="L1" s="65" t="s">
        <v>652</v>
      </c>
      <c r="M1" s="65"/>
      <c r="N1" s="65"/>
      <c r="O1" s="65"/>
      <c r="P1" s="65"/>
      <c r="Q1" s="65"/>
    </row>
    <row r="2" spans="1:18" ht="45">
      <c r="A2" s="14" t="s">
        <v>1</v>
      </c>
      <c r="B2" s="14" t="s">
        <v>2</v>
      </c>
      <c r="C2" s="14" t="s">
        <v>3</v>
      </c>
      <c r="D2" s="15" t="s">
        <v>4</v>
      </c>
      <c r="E2" s="15" t="s">
        <v>5</v>
      </c>
      <c r="F2" s="16" t="s">
        <v>639</v>
      </c>
      <c r="G2" s="16" t="s">
        <v>640</v>
      </c>
      <c r="H2" s="16" t="s">
        <v>642</v>
      </c>
      <c r="I2" s="16" t="s">
        <v>641</v>
      </c>
      <c r="J2" s="16" t="s">
        <v>643</v>
      </c>
      <c r="K2" s="16" t="s">
        <v>644</v>
      </c>
      <c r="L2" s="17" t="s">
        <v>646</v>
      </c>
      <c r="M2" s="17" t="s">
        <v>647</v>
      </c>
      <c r="N2" s="17" t="s">
        <v>648</v>
      </c>
      <c r="O2" s="17" t="s">
        <v>649</v>
      </c>
      <c r="P2" s="17" t="s">
        <v>650</v>
      </c>
      <c r="Q2" s="17" t="s">
        <v>651</v>
      </c>
      <c r="R2" s="27" t="s">
        <v>659</v>
      </c>
    </row>
    <row r="3" spans="1:18" ht="15.75" customHeight="1">
      <c r="A3" s="20" t="s">
        <v>6</v>
      </c>
      <c r="B3" s="20" t="s">
        <v>7</v>
      </c>
      <c r="C3" s="20" t="s">
        <v>8</v>
      </c>
      <c r="D3" s="18">
        <v>292565</v>
      </c>
      <c r="E3" s="20" t="s">
        <v>9</v>
      </c>
      <c r="F3" s="11" t="str">
        <f>IF(COUNTA($A3:$E3),"OK","NOK")</f>
        <v>OK</v>
      </c>
      <c r="G3" s="11" t="str">
        <f>IF(COUNTIFS($A:$A,A3,$E:E,E3)&gt;1,"NOK","OK")</f>
        <v>OK</v>
      </c>
      <c r="H3" s="11" t="str">
        <f>IF(OR(B3="Corporate", B3="Emerging", B3="Enterprise", B3="Small Business"),"OK","NOK")</f>
        <v>OK</v>
      </c>
      <c r="I3" s="11" t="str">
        <f>IF(OR(C3="ANZ", C3="DACH", C3="France", C3="North America", C3="UK"),"OK","NOK")</f>
        <v>OK</v>
      </c>
      <c r="J3" s="11" t="str">
        <f>IF(OR(D3&lt;=0, D3&gt;300000),"NOK","OK")</f>
        <v>OK</v>
      </c>
      <c r="K3" s="11" t="str">
        <f>IF(OR(E3="FY23", E3="FY24", E3="FY25"),"OK","NOK")</f>
        <v>OK</v>
      </c>
      <c r="L3" s="19">
        <f>COUNTIF(F:F,"NOK")</f>
        <v>4</v>
      </c>
      <c r="M3" s="19">
        <f>COUNTIF(G:G,"NOK")</f>
        <v>6</v>
      </c>
      <c r="N3" s="19">
        <v>3</v>
      </c>
      <c r="O3" s="19">
        <v>1</v>
      </c>
      <c r="P3" s="19">
        <v>1</v>
      </c>
      <c r="Q3" s="19">
        <v>0</v>
      </c>
      <c r="R3" t="str">
        <f>IF(COUNTIF(F3:K3, "NOK") &gt; 0, "Hide", "Keep")</f>
        <v>Keep</v>
      </c>
    </row>
    <row r="4" spans="1:18" ht="15.75" customHeight="1">
      <c r="A4" s="21" t="s">
        <v>10</v>
      </c>
      <c r="B4" s="22" t="s">
        <v>11</v>
      </c>
      <c r="C4" s="22" t="s">
        <v>8</v>
      </c>
      <c r="D4" s="6">
        <v>288042</v>
      </c>
      <c r="E4" s="22" t="s">
        <v>12</v>
      </c>
      <c r="F4" s="11" t="str">
        <f t="shared" ref="F4:F67" si="0">IF(COUNTA($A4:$E4),"OK","NOK")</f>
        <v>OK</v>
      </c>
      <c r="G4" s="11" t="str">
        <f>IF(COUNTIFS($A:$A,A4,$E:E,E4)&gt;1,"NOK","OK")</f>
        <v>OK</v>
      </c>
      <c r="H4" s="11" t="str">
        <f t="shared" ref="H4:H67" si="1">IF(OR(B4="Corporate", B4="Emerging", B4="Enterprise", B4="Small Business"),"OK","NOK")</f>
        <v>OK</v>
      </c>
      <c r="I4" s="11" t="str">
        <f t="shared" ref="I4:I67" si="2">IF(OR(C4="ANZ", C4="DACH", C4="France", C4="North America", C4="UK"),"OK","NOK")</f>
        <v>OK</v>
      </c>
      <c r="J4" s="11" t="str">
        <f t="shared" ref="J4:J67" si="3">IF(OR(D4&lt;=0, D4&gt;300000),"NOK","OK")</f>
        <v>OK</v>
      </c>
      <c r="K4" s="11" t="str">
        <f t="shared" ref="K4:K67" si="4">IF(OR(E4="FY23", E4="FY24", E4="FY25"),"OK","NOK")</f>
        <v>OK</v>
      </c>
      <c r="L4" s="12"/>
      <c r="R4" t="str">
        <f t="shared" ref="R4:R22" si="5">IF(COUNTIF(F4:K4, "NOK") &gt; 0, "Hide", "Keep")</f>
        <v>Keep</v>
      </c>
    </row>
    <row r="5" spans="1:18" ht="15.75" customHeight="1">
      <c r="A5" s="23" t="s">
        <v>13</v>
      </c>
      <c r="B5" s="24" t="s">
        <v>11</v>
      </c>
      <c r="C5" s="24" t="s">
        <v>8</v>
      </c>
      <c r="D5" s="7">
        <v>283760</v>
      </c>
      <c r="E5" s="24" t="s">
        <v>12</v>
      </c>
      <c r="F5" s="11" t="str">
        <f t="shared" si="0"/>
        <v>OK</v>
      </c>
      <c r="G5" s="11" t="str">
        <f>IF(COUNTIFS($A:$A,A5,$E:E,E5)&gt;1,"NOK","OK")</f>
        <v>OK</v>
      </c>
      <c r="H5" s="11" t="str">
        <f t="shared" si="1"/>
        <v>OK</v>
      </c>
      <c r="I5" s="11" t="str">
        <f t="shared" si="2"/>
        <v>OK</v>
      </c>
      <c r="J5" s="11" t="str">
        <f t="shared" si="3"/>
        <v>OK</v>
      </c>
      <c r="K5" s="11" t="str">
        <f t="shared" si="4"/>
        <v>OK</v>
      </c>
      <c r="R5" t="str">
        <f t="shared" si="5"/>
        <v>Keep</v>
      </c>
    </row>
    <row r="6" spans="1:18" ht="15.75" customHeight="1">
      <c r="A6" s="23" t="s">
        <v>14</v>
      </c>
      <c r="B6" s="24" t="s">
        <v>7</v>
      </c>
      <c r="C6" s="24" t="s">
        <v>8</v>
      </c>
      <c r="D6" s="7">
        <v>277762</v>
      </c>
      <c r="E6" s="24" t="s">
        <v>12</v>
      </c>
      <c r="F6" s="11" t="str">
        <f t="shared" si="0"/>
        <v>OK</v>
      </c>
      <c r="G6" s="11" t="str">
        <f>IF(COUNTIFS($A:$A,A6,$E:E,E6)&gt;1,"NOK","OK")</f>
        <v>OK</v>
      </c>
      <c r="H6" s="11" t="str">
        <f t="shared" si="1"/>
        <v>OK</v>
      </c>
      <c r="I6" s="11" t="str">
        <f t="shared" si="2"/>
        <v>OK</v>
      </c>
      <c r="J6" s="11" t="str">
        <f t="shared" si="3"/>
        <v>OK</v>
      </c>
      <c r="K6" s="11" t="str">
        <f t="shared" si="4"/>
        <v>OK</v>
      </c>
      <c r="M6" s="62" t="s">
        <v>657</v>
      </c>
      <c r="N6" s="62"/>
      <c r="O6" s="62"/>
      <c r="P6" s="62"/>
      <c r="R6" t="str">
        <f t="shared" si="5"/>
        <v>Keep</v>
      </c>
    </row>
    <row r="7" spans="1:18" ht="15.75" customHeight="1">
      <c r="A7" s="23" t="s">
        <v>15</v>
      </c>
      <c r="B7" s="24" t="s">
        <v>11</v>
      </c>
      <c r="C7" s="24" t="s">
        <v>8</v>
      </c>
      <c r="D7" s="7">
        <v>272382</v>
      </c>
      <c r="E7" s="24" t="s">
        <v>16</v>
      </c>
      <c r="F7" s="11" t="str">
        <f t="shared" si="0"/>
        <v>OK</v>
      </c>
      <c r="G7" s="11" t="str">
        <f>IF(COUNTIFS($A:$A,A7,$E:E,E7)&gt;1,"NOK","OK")</f>
        <v>OK</v>
      </c>
      <c r="H7" s="11" t="str">
        <f t="shared" si="1"/>
        <v>OK</v>
      </c>
      <c r="I7" s="11" t="str">
        <f t="shared" si="2"/>
        <v>OK</v>
      </c>
      <c r="J7" s="11" t="str">
        <f t="shared" si="3"/>
        <v>OK</v>
      </c>
      <c r="K7" s="11" t="str">
        <f t="shared" si="4"/>
        <v>OK</v>
      </c>
      <c r="M7" s="13" t="s">
        <v>655</v>
      </c>
      <c r="N7" s="66">
        <v>629</v>
      </c>
      <c r="O7" s="60"/>
      <c r="P7" s="61"/>
      <c r="R7" t="str">
        <f t="shared" si="5"/>
        <v>Keep</v>
      </c>
    </row>
    <row r="8" spans="1:18" ht="15.75" customHeight="1">
      <c r="A8" s="23" t="s">
        <v>17</v>
      </c>
      <c r="B8" s="24" t="s">
        <v>7</v>
      </c>
      <c r="C8" s="24" t="s">
        <v>8</v>
      </c>
      <c r="D8" s="7">
        <v>252435</v>
      </c>
      <c r="E8" s="24" t="s">
        <v>16</v>
      </c>
      <c r="F8" s="11" t="str">
        <f t="shared" si="0"/>
        <v>OK</v>
      </c>
      <c r="G8" s="11" t="str">
        <f>IF(COUNTIFS($A:$A,A8,$E:E,E8)&gt;1,"NOK","OK")</f>
        <v>OK</v>
      </c>
      <c r="H8" s="11" t="str">
        <f t="shared" si="1"/>
        <v>OK</v>
      </c>
      <c r="I8" s="11" t="str">
        <f t="shared" si="2"/>
        <v>OK</v>
      </c>
      <c r="J8" s="11" t="str">
        <f t="shared" si="3"/>
        <v>OK</v>
      </c>
      <c r="K8" s="11" t="str">
        <f t="shared" si="4"/>
        <v>OK</v>
      </c>
      <c r="M8" s="13" t="s">
        <v>656</v>
      </c>
      <c r="N8" s="66">
        <v>614</v>
      </c>
      <c r="O8" s="60"/>
      <c r="P8" s="61"/>
      <c r="R8" t="str">
        <f t="shared" si="5"/>
        <v>Keep</v>
      </c>
    </row>
    <row r="9" spans="1:18" ht="15.75" customHeight="1">
      <c r="A9" s="23" t="s">
        <v>18</v>
      </c>
      <c r="B9" s="24" t="s">
        <v>7</v>
      </c>
      <c r="C9" s="24" t="s">
        <v>8</v>
      </c>
      <c r="D9" s="7">
        <v>251208</v>
      </c>
      <c r="E9" s="24" t="s">
        <v>16</v>
      </c>
      <c r="F9" s="11" t="str">
        <f t="shared" si="0"/>
        <v>OK</v>
      </c>
      <c r="G9" s="11" t="str">
        <f>IF(COUNTIFS($A:$A,A9,$E:E,E9)&gt;1,"NOK","OK")</f>
        <v>OK</v>
      </c>
      <c r="H9" s="11" t="str">
        <f t="shared" si="1"/>
        <v>OK</v>
      </c>
      <c r="I9" s="11" t="str">
        <f t="shared" si="2"/>
        <v>OK</v>
      </c>
      <c r="J9" s="11" t="str">
        <f t="shared" si="3"/>
        <v>OK</v>
      </c>
      <c r="K9" s="11" t="str">
        <f t="shared" si="4"/>
        <v>OK</v>
      </c>
      <c r="M9" s="13" t="s">
        <v>653</v>
      </c>
      <c r="N9" s="67">
        <f>(N8/N7)</f>
        <v>0.97615262321144669</v>
      </c>
      <c r="O9" s="68"/>
      <c r="P9" s="69"/>
      <c r="R9" t="str">
        <f t="shared" si="5"/>
        <v>Keep</v>
      </c>
    </row>
    <row r="10" spans="1:18" ht="15.75" customHeight="1">
      <c r="A10" s="23" t="s">
        <v>19</v>
      </c>
      <c r="B10" s="24" t="s">
        <v>7</v>
      </c>
      <c r="C10" s="24" t="s">
        <v>8</v>
      </c>
      <c r="D10" s="7">
        <v>251067</v>
      </c>
      <c r="E10" s="24" t="s">
        <v>12</v>
      </c>
      <c r="F10" s="11" t="str">
        <f t="shared" si="0"/>
        <v>OK</v>
      </c>
      <c r="G10" s="11" t="str">
        <f>IF(COUNTIFS($A:$A,A10,$E:E,E10)&gt;1,"NOK","OK")</f>
        <v>OK</v>
      </c>
      <c r="H10" s="11" t="str">
        <f t="shared" si="1"/>
        <v>OK</v>
      </c>
      <c r="I10" s="11" t="str">
        <f t="shared" si="2"/>
        <v>OK</v>
      </c>
      <c r="J10" s="11" t="str">
        <f t="shared" si="3"/>
        <v>OK</v>
      </c>
      <c r="K10" s="11" t="str">
        <f t="shared" si="4"/>
        <v>OK</v>
      </c>
      <c r="M10" s="13" t="s">
        <v>654</v>
      </c>
      <c r="N10" s="59" t="s">
        <v>658</v>
      </c>
      <c r="O10" s="60"/>
      <c r="P10" s="61"/>
      <c r="R10" t="str">
        <f t="shared" si="5"/>
        <v>Keep</v>
      </c>
    </row>
    <row r="11" spans="1:18" ht="15.75" customHeight="1">
      <c r="A11" s="23" t="s">
        <v>20</v>
      </c>
      <c r="B11" s="24" t="s">
        <v>7</v>
      </c>
      <c r="C11" s="24" t="s">
        <v>8</v>
      </c>
      <c r="D11" s="7">
        <v>249649</v>
      </c>
      <c r="E11" s="24" t="s">
        <v>9</v>
      </c>
      <c r="F11" s="11" t="str">
        <f t="shared" si="0"/>
        <v>OK</v>
      </c>
      <c r="G11" s="11" t="str">
        <f>IF(COUNTIFS($A:$A,A11,$E:E,E11)&gt;1,"NOK","OK")</f>
        <v>OK</v>
      </c>
      <c r="H11" s="11" t="str">
        <f t="shared" si="1"/>
        <v>OK</v>
      </c>
      <c r="I11" s="11" t="str">
        <f t="shared" si="2"/>
        <v>OK</v>
      </c>
      <c r="J11" s="11" t="str">
        <f t="shared" si="3"/>
        <v>OK</v>
      </c>
      <c r="K11" s="11" t="str">
        <f t="shared" si="4"/>
        <v>OK</v>
      </c>
      <c r="R11" t="str">
        <f t="shared" si="5"/>
        <v>Keep</v>
      </c>
    </row>
    <row r="12" spans="1:18" ht="15.75" customHeight="1">
      <c r="A12" s="23" t="s">
        <v>21</v>
      </c>
      <c r="B12" s="24" t="s">
        <v>7</v>
      </c>
      <c r="C12" s="24" t="s">
        <v>8</v>
      </c>
      <c r="D12" s="7">
        <v>247792</v>
      </c>
      <c r="E12" s="24" t="s">
        <v>16</v>
      </c>
      <c r="F12" s="11" t="str">
        <f t="shared" si="0"/>
        <v>OK</v>
      </c>
      <c r="G12" s="11" t="str">
        <f>IF(COUNTIFS($A:$A,A12,$E:E,E12)&gt;1,"NOK","OK")</f>
        <v>OK</v>
      </c>
      <c r="H12" s="11" t="str">
        <f t="shared" si="1"/>
        <v>OK</v>
      </c>
      <c r="I12" s="11" t="str">
        <f t="shared" si="2"/>
        <v>OK</v>
      </c>
      <c r="J12" s="11" t="str">
        <f t="shared" si="3"/>
        <v>OK</v>
      </c>
      <c r="K12" s="11" t="str">
        <f t="shared" si="4"/>
        <v>OK</v>
      </c>
      <c r="R12" t="str">
        <f t="shared" si="5"/>
        <v>Keep</v>
      </c>
    </row>
    <row r="13" spans="1:18" ht="15.75" customHeight="1">
      <c r="A13" s="23" t="s">
        <v>22</v>
      </c>
      <c r="B13" s="24" t="s">
        <v>11</v>
      </c>
      <c r="C13" s="24" t="s">
        <v>8</v>
      </c>
      <c r="D13" s="7">
        <v>247502</v>
      </c>
      <c r="E13" s="24" t="s">
        <v>12</v>
      </c>
      <c r="F13" s="11" t="str">
        <f t="shared" si="0"/>
        <v>OK</v>
      </c>
      <c r="G13" s="11" t="str">
        <f>IF(COUNTIFS($A:$A,A13,$E:E,E13)&gt;1,"NOK","OK")</f>
        <v>OK</v>
      </c>
      <c r="H13" s="11" t="str">
        <f t="shared" si="1"/>
        <v>OK</v>
      </c>
      <c r="I13" s="11" t="str">
        <f t="shared" si="2"/>
        <v>OK</v>
      </c>
      <c r="J13" s="11" t="str">
        <f t="shared" si="3"/>
        <v>OK</v>
      </c>
      <c r="K13" s="11" t="str">
        <f t="shared" si="4"/>
        <v>OK</v>
      </c>
      <c r="R13" t="str">
        <f t="shared" si="5"/>
        <v>Keep</v>
      </c>
    </row>
    <row r="14" spans="1:18" ht="15.75" customHeight="1">
      <c r="A14" s="23" t="s">
        <v>23</v>
      </c>
      <c r="B14" s="24" t="s">
        <v>11</v>
      </c>
      <c r="C14" s="24" t="s">
        <v>8</v>
      </c>
      <c r="D14" s="7">
        <v>228344</v>
      </c>
      <c r="E14" s="24" t="s">
        <v>16</v>
      </c>
      <c r="F14" s="11" t="str">
        <f t="shared" si="0"/>
        <v>OK</v>
      </c>
      <c r="G14" s="11" t="str">
        <f>IF(COUNTIFS($A:$A,A14,$E:E,E14)&gt;1,"NOK","OK")</f>
        <v>OK</v>
      </c>
      <c r="H14" s="11" t="str">
        <f t="shared" si="1"/>
        <v>OK</v>
      </c>
      <c r="I14" s="11" t="str">
        <f t="shared" si="2"/>
        <v>OK</v>
      </c>
      <c r="J14" s="11" t="str">
        <f t="shared" si="3"/>
        <v>OK</v>
      </c>
      <c r="K14" s="11" t="str">
        <f t="shared" si="4"/>
        <v>OK</v>
      </c>
      <c r="R14" t="str">
        <f t="shared" si="5"/>
        <v>Keep</v>
      </c>
    </row>
    <row r="15" spans="1:18" ht="15.75" customHeight="1">
      <c r="A15" s="23" t="s">
        <v>24</v>
      </c>
      <c r="B15" s="24" t="s">
        <v>25</v>
      </c>
      <c r="C15" s="24" t="s">
        <v>8</v>
      </c>
      <c r="D15" s="7">
        <v>223186</v>
      </c>
      <c r="E15" s="24" t="s">
        <v>16</v>
      </c>
      <c r="F15" s="11" t="str">
        <f t="shared" si="0"/>
        <v>OK</v>
      </c>
      <c r="G15" s="11" t="str">
        <f>IF(COUNTIFS($A:$A,A15,$E:E,E15)&gt;1,"NOK","OK")</f>
        <v>OK</v>
      </c>
      <c r="H15" s="11" t="str">
        <f t="shared" si="1"/>
        <v>OK</v>
      </c>
      <c r="I15" s="11" t="str">
        <f t="shared" si="2"/>
        <v>OK</v>
      </c>
      <c r="J15" s="11" t="str">
        <f t="shared" si="3"/>
        <v>OK</v>
      </c>
      <c r="K15" s="11" t="str">
        <f t="shared" si="4"/>
        <v>OK</v>
      </c>
      <c r="R15" t="str">
        <f t="shared" si="5"/>
        <v>Keep</v>
      </c>
    </row>
    <row r="16" spans="1:18" ht="15.75" customHeight="1">
      <c r="A16" s="23" t="s">
        <v>26</v>
      </c>
      <c r="B16" s="24" t="s">
        <v>11</v>
      </c>
      <c r="C16" s="24" t="s">
        <v>8</v>
      </c>
      <c r="D16" s="7">
        <v>218640</v>
      </c>
      <c r="E16" s="24" t="s">
        <v>9</v>
      </c>
      <c r="F16" s="11" t="str">
        <f t="shared" si="0"/>
        <v>OK</v>
      </c>
      <c r="G16" s="11" t="str">
        <f>IF(COUNTIFS($A:$A,A16,$E:E,E16)&gt;1,"NOK","OK")</f>
        <v>OK</v>
      </c>
      <c r="H16" s="11" t="str">
        <f t="shared" si="1"/>
        <v>OK</v>
      </c>
      <c r="I16" s="11" t="str">
        <f t="shared" si="2"/>
        <v>OK</v>
      </c>
      <c r="J16" s="11" t="str">
        <f t="shared" si="3"/>
        <v>OK</v>
      </c>
      <c r="K16" s="11" t="str">
        <f t="shared" si="4"/>
        <v>OK</v>
      </c>
      <c r="R16" t="str">
        <f t="shared" si="5"/>
        <v>Keep</v>
      </c>
    </row>
    <row r="17" spans="1:18" ht="15.75" customHeight="1">
      <c r="A17" s="23" t="s">
        <v>27</v>
      </c>
      <c r="B17" s="24" t="s">
        <v>7</v>
      </c>
      <c r="C17" s="24" t="s">
        <v>8</v>
      </c>
      <c r="D17" s="7">
        <v>211672</v>
      </c>
      <c r="E17" s="24" t="s">
        <v>16</v>
      </c>
      <c r="F17" s="11" t="str">
        <f t="shared" si="0"/>
        <v>OK</v>
      </c>
      <c r="G17" s="11" t="str">
        <f>IF(COUNTIFS($A:$A,A17,$E:E,E17)&gt;1,"NOK","OK")</f>
        <v>OK</v>
      </c>
      <c r="H17" s="11" t="str">
        <f t="shared" si="1"/>
        <v>OK</v>
      </c>
      <c r="I17" s="11" t="str">
        <f t="shared" si="2"/>
        <v>OK</v>
      </c>
      <c r="J17" s="11" t="str">
        <f t="shared" si="3"/>
        <v>OK</v>
      </c>
      <c r="K17" s="11" t="str">
        <f t="shared" si="4"/>
        <v>OK</v>
      </c>
      <c r="R17" t="str">
        <f t="shared" si="5"/>
        <v>Keep</v>
      </c>
    </row>
    <row r="18" spans="1:18" ht="15.75" customHeight="1">
      <c r="A18" s="23" t="s">
        <v>28</v>
      </c>
      <c r="B18" s="24" t="s">
        <v>11</v>
      </c>
      <c r="C18" s="24" t="s">
        <v>8</v>
      </c>
      <c r="D18" s="7">
        <v>207974</v>
      </c>
      <c r="E18" s="24" t="s">
        <v>16</v>
      </c>
      <c r="F18" s="11" t="str">
        <f t="shared" si="0"/>
        <v>OK</v>
      </c>
      <c r="G18" s="11" t="str">
        <f>IF(COUNTIFS($A:$A,A18,$E:E,E18)&gt;1,"NOK","OK")</f>
        <v>OK</v>
      </c>
      <c r="H18" s="11" t="str">
        <f t="shared" si="1"/>
        <v>OK</v>
      </c>
      <c r="I18" s="11" t="str">
        <f t="shared" si="2"/>
        <v>OK</v>
      </c>
      <c r="J18" s="11" t="str">
        <f t="shared" si="3"/>
        <v>OK</v>
      </c>
      <c r="K18" s="11" t="str">
        <f t="shared" si="4"/>
        <v>OK</v>
      </c>
      <c r="R18" t="str">
        <f t="shared" si="5"/>
        <v>Keep</v>
      </c>
    </row>
    <row r="19" spans="1:18" ht="15.75" customHeight="1">
      <c r="A19" s="23" t="s">
        <v>29</v>
      </c>
      <c r="B19" s="24" t="s">
        <v>7</v>
      </c>
      <c r="C19" s="24" t="s">
        <v>8</v>
      </c>
      <c r="D19" s="7">
        <v>203025</v>
      </c>
      <c r="E19" s="24" t="s">
        <v>16</v>
      </c>
      <c r="F19" s="11" t="str">
        <f t="shared" si="0"/>
        <v>OK</v>
      </c>
      <c r="G19" s="11" t="str">
        <f>IF(COUNTIFS($A:$A,A19,$E:E,E19)&gt;1,"NOK","OK")</f>
        <v>OK</v>
      </c>
      <c r="H19" s="11" t="str">
        <f t="shared" si="1"/>
        <v>OK</v>
      </c>
      <c r="I19" s="11" t="str">
        <f t="shared" si="2"/>
        <v>OK</v>
      </c>
      <c r="J19" s="11" t="str">
        <f t="shared" si="3"/>
        <v>OK</v>
      </c>
      <c r="K19" s="11" t="str">
        <f t="shared" si="4"/>
        <v>OK</v>
      </c>
      <c r="R19" t="str">
        <f t="shared" si="5"/>
        <v>Keep</v>
      </c>
    </row>
    <row r="20" spans="1:18" ht="15.75" customHeight="1">
      <c r="A20" s="23" t="s">
        <v>30</v>
      </c>
      <c r="B20" s="24" t="s">
        <v>11</v>
      </c>
      <c r="C20" s="24" t="s">
        <v>8</v>
      </c>
      <c r="D20" s="7">
        <v>201645</v>
      </c>
      <c r="E20" s="24" t="s">
        <v>12</v>
      </c>
      <c r="F20" s="11" t="str">
        <f t="shared" si="0"/>
        <v>OK</v>
      </c>
      <c r="G20" s="11" t="str">
        <f>IF(COUNTIFS($A:$A,A20,$E:E,E20)&gt;1,"NOK","OK")</f>
        <v>OK</v>
      </c>
      <c r="H20" s="11" t="str">
        <f t="shared" si="1"/>
        <v>OK</v>
      </c>
      <c r="I20" s="11" t="str">
        <f t="shared" si="2"/>
        <v>OK</v>
      </c>
      <c r="J20" s="11" t="str">
        <f t="shared" si="3"/>
        <v>OK</v>
      </c>
      <c r="K20" s="11" t="str">
        <f t="shared" si="4"/>
        <v>OK</v>
      </c>
      <c r="M20" s="12"/>
      <c r="N20" s="12"/>
      <c r="R20" t="str">
        <f t="shared" si="5"/>
        <v>Keep</v>
      </c>
    </row>
    <row r="21" spans="1:18" ht="15.75" customHeight="1">
      <c r="A21" s="23" t="s">
        <v>31</v>
      </c>
      <c r="B21" s="24" t="s">
        <v>25</v>
      </c>
      <c r="C21" s="24" t="s">
        <v>8</v>
      </c>
      <c r="D21" s="7">
        <v>186447</v>
      </c>
      <c r="E21" s="24" t="s">
        <v>16</v>
      </c>
      <c r="F21" s="11" t="str">
        <f t="shared" si="0"/>
        <v>OK</v>
      </c>
      <c r="G21" s="11" t="str">
        <f>IF(COUNTIFS($A:$A,A21,$E:E,E21)&gt;1,"NOK","OK")</f>
        <v>OK</v>
      </c>
      <c r="H21" s="11" t="str">
        <f t="shared" si="1"/>
        <v>OK</v>
      </c>
      <c r="I21" s="11" t="str">
        <f t="shared" si="2"/>
        <v>OK</v>
      </c>
      <c r="J21" s="11" t="str">
        <f t="shared" si="3"/>
        <v>OK</v>
      </c>
      <c r="K21" s="11" t="str">
        <f t="shared" si="4"/>
        <v>OK</v>
      </c>
      <c r="R21" t="str">
        <f t="shared" si="5"/>
        <v>Keep</v>
      </c>
    </row>
    <row r="22" spans="1:18" ht="15.75" customHeight="1">
      <c r="A22" s="23" t="s">
        <v>31</v>
      </c>
      <c r="B22" s="24" t="s">
        <v>32</v>
      </c>
      <c r="C22" s="24" t="s">
        <v>8</v>
      </c>
      <c r="D22" s="7">
        <v>186447</v>
      </c>
      <c r="E22" s="24" t="s">
        <v>12</v>
      </c>
      <c r="F22" s="11" t="str">
        <f t="shared" si="0"/>
        <v>OK</v>
      </c>
      <c r="G22" s="11" t="str">
        <f>IF(COUNTIFS($A:$A,A22,$E:E,E22)&gt;1,"NOK","OK")</f>
        <v>OK</v>
      </c>
      <c r="H22" s="11" t="str">
        <f t="shared" si="1"/>
        <v>NOK</v>
      </c>
      <c r="I22" s="11" t="str">
        <f t="shared" si="2"/>
        <v>OK</v>
      </c>
      <c r="J22" s="11" t="str">
        <f t="shared" si="3"/>
        <v>OK</v>
      </c>
      <c r="K22" s="11" t="str">
        <f t="shared" si="4"/>
        <v>OK</v>
      </c>
      <c r="R22" t="str">
        <f t="shared" si="5"/>
        <v>Hide</v>
      </c>
    </row>
    <row r="23" spans="1:18" ht="15.75" customHeight="1">
      <c r="A23" s="23" t="s">
        <v>33</v>
      </c>
      <c r="B23" s="24" t="s">
        <v>7</v>
      </c>
      <c r="C23" s="24" t="s">
        <v>8</v>
      </c>
      <c r="D23" s="7">
        <v>156587</v>
      </c>
      <c r="E23" s="24" t="s">
        <v>16</v>
      </c>
      <c r="F23" s="11" t="str">
        <f t="shared" si="0"/>
        <v>OK</v>
      </c>
      <c r="G23" s="11" t="str">
        <f>IF(COUNTIFS($A:$A,A23,$E:E,E23)&gt;1,"NOK","OK")</f>
        <v>OK</v>
      </c>
      <c r="H23" s="11" t="str">
        <f t="shared" si="1"/>
        <v>OK</v>
      </c>
      <c r="I23" s="11" t="str">
        <f t="shared" si="2"/>
        <v>OK</v>
      </c>
      <c r="J23" s="11" t="str">
        <f t="shared" si="3"/>
        <v>OK</v>
      </c>
      <c r="K23" s="11" t="str">
        <f t="shared" si="4"/>
        <v>OK</v>
      </c>
      <c r="R23" t="str">
        <f t="shared" ref="R23:R62" si="6">IF(COUNTIF(F22:L22, "NOK") &gt; 0, "Hide", "Keep")</f>
        <v>Hide</v>
      </c>
    </row>
    <row r="24" spans="1:18" ht="15.75" customHeight="1">
      <c r="A24" s="23" t="s">
        <v>34</v>
      </c>
      <c r="B24" s="24" t="s">
        <v>11</v>
      </c>
      <c r="C24" s="24" t="s">
        <v>8</v>
      </c>
      <c r="D24" s="7">
        <v>156333</v>
      </c>
      <c r="E24" s="24" t="s">
        <v>12</v>
      </c>
      <c r="F24" s="11" t="str">
        <f t="shared" si="0"/>
        <v>OK</v>
      </c>
      <c r="G24" s="11" t="str">
        <f>IF(COUNTIFS($A:$A,A24,$E:E,E24)&gt;1,"NOK","OK")</f>
        <v>OK</v>
      </c>
      <c r="H24" s="11" t="str">
        <f t="shared" si="1"/>
        <v>OK</v>
      </c>
      <c r="I24" s="11" t="str">
        <f t="shared" si="2"/>
        <v>OK</v>
      </c>
      <c r="J24" s="11" t="str">
        <f t="shared" si="3"/>
        <v>OK</v>
      </c>
      <c r="K24" s="11" t="str">
        <f t="shared" si="4"/>
        <v>OK</v>
      </c>
      <c r="R24" t="str">
        <f t="shared" ref="R24:R38" si="7">IF(COUNTIF(F24:K24, "NOK") &gt; 0, "Hide", "Keep")</f>
        <v>Keep</v>
      </c>
    </row>
    <row r="25" spans="1:18" ht="15.75" customHeight="1">
      <c r="A25" s="23" t="s">
        <v>35</v>
      </c>
      <c r="B25" s="24" t="s">
        <v>7</v>
      </c>
      <c r="C25" s="24" t="s">
        <v>8</v>
      </c>
      <c r="D25" s="7">
        <v>156064</v>
      </c>
      <c r="E25" s="24" t="s">
        <v>12</v>
      </c>
      <c r="F25" s="11" t="str">
        <f t="shared" si="0"/>
        <v>OK</v>
      </c>
      <c r="G25" s="11" t="str">
        <f>IF(COUNTIFS($A:$A,A25,$E:E,E25)&gt;1,"NOK","OK")</f>
        <v>OK</v>
      </c>
      <c r="H25" s="11" t="str">
        <f t="shared" si="1"/>
        <v>OK</v>
      </c>
      <c r="I25" s="11" t="str">
        <f t="shared" si="2"/>
        <v>OK</v>
      </c>
      <c r="J25" s="11" t="str">
        <f t="shared" si="3"/>
        <v>OK</v>
      </c>
      <c r="K25" s="11" t="str">
        <f t="shared" si="4"/>
        <v>OK</v>
      </c>
      <c r="R25" t="str">
        <f t="shared" si="7"/>
        <v>Keep</v>
      </c>
    </row>
    <row r="26" spans="1:18" ht="15.75" customHeight="1">
      <c r="A26" s="23" t="s">
        <v>36</v>
      </c>
      <c r="B26" s="24" t="s">
        <v>7</v>
      </c>
      <c r="C26" s="24" t="s">
        <v>8</v>
      </c>
      <c r="D26" s="7">
        <v>148563</v>
      </c>
      <c r="E26" s="24" t="s">
        <v>12</v>
      </c>
      <c r="F26" s="11" t="str">
        <f t="shared" si="0"/>
        <v>OK</v>
      </c>
      <c r="G26" s="11" t="str">
        <f>IF(COUNTIFS($A:$A,A26,$E:E,E26)&gt;1,"NOK","OK")</f>
        <v>OK</v>
      </c>
      <c r="H26" s="11" t="str">
        <f t="shared" si="1"/>
        <v>OK</v>
      </c>
      <c r="I26" s="11" t="str">
        <f t="shared" si="2"/>
        <v>OK</v>
      </c>
      <c r="J26" s="11" t="str">
        <f t="shared" si="3"/>
        <v>OK</v>
      </c>
      <c r="K26" s="11" t="str">
        <f t="shared" si="4"/>
        <v>OK</v>
      </c>
      <c r="R26" t="str">
        <f t="shared" si="7"/>
        <v>Keep</v>
      </c>
    </row>
    <row r="27" spans="1:18" ht="15.75" customHeight="1">
      <c r="A27" s="23" t="s">
        <v>37</v>
      </c>
      <c r="B27" s="24" t="s">
        <v>11</v>
      </c>
      <c r="C27" s="24" t="s">
        <v>8</v>
      </c>
      <c r="D27" s="7">
        <v>125334</v>
      </c>
      <c r="E27" s="24" t="s">
        <v>12</v>
      </c>
      <c r="F27" s="11" t="str">
        <f t="shared" si="0"/>
        <v>OK</v>
      </c>
      <c r="G27" s="11" t="str">
        <f>IF(COUNTIFS($A:$A,A27,$E:E,E27)&gt;1,"NOK","OK")</f>
        <v>OK</v>
      </c>
      <c r="H27" s="11" t="str">
        <f t="shared" si="1"/>
        <v>OK</v>
      </c>
      <c r="I27" s="11" t="str">
        <f t="shared" si="2"/>
        <v>OK</v>
      </c>
      <c r="J27" s="11" t="str">
        <f t="shared" si="3"/>
        <v>OK</v>
      </c>
      <c r="K27" s="11" t="str">
        <f t="shared" si="4"/>
        <v>OK</v>
      </c>
      <c r="R27" t="str">
        <f t="shared" si="7"/>
        <v>Keep</v>
      </c>
    </row>
    <row r="28" spans="1:18" ht="15.75" customHeight="1">
      <c r="A28" s="23" t="s">
        <v>38</v>
      </c>
      <c r="B28" s="24" t="s">
        <v>7</v>
      </c>
      <c r="C28" s="24" t="s">
        <v>8</v>
      </c>
      <c r="D28" s="7">
        <v>122007</v>
      </c>
      <c r="E28" s="24" t="s">
        <v>9</v>
      </c>
      <c r="F28" s="11" t="str">
        <f t="shared" si="0"/>
        <v>OK</v>
      </c>
      <c r="G28" s="11" t="str">
        <f>IF(COUNTIFS($A:$A,A28,$E:E,E28)&gt;1,"NOK","OK")</f>
        <v>OK</v>
      </c>
      <c r="H28" s="11" t="str">
        <f t="shared" si="1"/>
        <v>OK</v>
      </c>
      <c r="I28" s="11" t="str">
        <f t="shared" si="2"/>
        <v>OK</v>
      </c>
      <c r="J28" s="11" t="str">
        <f t="shared" si="3"/>
        <v>OK</v>
      </c>
      <c r="K28" s="11" t="str">
        <f t="shared" si="4"/>
        <v>OK</v>
      </c>
      <c r="R28" t="str">
        <f t="shared" si="7"/>
        <v>Keep</v>
      </c>
    </row>
    <row r="29" spans="1:18" ht="15.75" customHeight="1">
      <c r="A29" s="23" t="s">
        <v>39</v>
      </c>
      <c r="B29" s="24" t="s">
        <v>11</v>
      </c>
      <c r="C29" s="24" t="s">
        <v>8</v>
      </c>
      <c r="D29" s="7">
        <v>114678</v>
      </c>
      <c r="E29" s="24" t="s">
        <v>12</v>
      </c>
      <c r="F29" s="11" t="str">
        <f t="shared" si="0"/>
        <v>OK</v>
      </c>
      <c r="G29" s="11" t="str">
        <f>IF(COUNTIFS($A:$A,A29,$E:E,E29)&gt;1,"NOK","OK")</f>
        <v>OK</v>
      </c>
      <c r="H29" s="11" t="str">
        <f t="shared" si="1"/>
        <v>OK</v>
      </c>
      <c r="I29" s="11" t="str">
        <f t="shared" si="2"/>
        <v>OK</v>
      </c>
      <c r="J29" s="11" t="str">
        <f t="shared" si="3"/>
        <v>OK</v>
      </c>
      <c r="K29" s="11" t="str">
        <f t="shared" si="4"/>
        <v>OK</v>
      </c>
      <c r="R29" t="str">
        <f t="shared" si="7"/>
        <v>Keep</v>
      </c>
    </row>
    <row r="30" spans="1:18" ht="15.75" customHeight="1">
      <c r="A30" s="23" t="s">
        <v>40</v>
      </c>
      <c r="B30" s="24" t="s">
        <v>7</v>
      </c>
      <c r="C30" s="24" t="s">
        <v>8</v>
      </c>
      <c r="D30" s="7">
        <v>109108</v>
      </c>
      <c r="E30" s="24" t="s">
        <v>16</v>
      </c>
      <c r="F30" s="11" t="str">
        <f t="shared" si="0"/>
        <v>OK</v>
      </c>
      <c r="G30" s="11" t="str">
        <f>IF(COUNTIFS($A:$A,A30,$E:E,E30)&gt;1,"NOK","OK")</f>
        <v>OK</v>
      </c>
      <c r="H30" s="11" t="str">
        <f t="shared" si="1"/>
        <v>OK</v>
      </c>
      <c r="I30" s="11" t="str">
        <f t="shared" si="2"/>
        <v>OK</v>
      </c>
      <c r="J30" s="11" t="str">
        <f t="shared" si="3"/>
        <v>OK</v>
      </c>
      <c r="K30" s="11" t="str">
        <f t="shared" si="4"/>
        <v>OK</v>
      </c>
      <c r="R30" t="str">
        <f t="shared" si="7"/>
        <v>Keep</v>
      </c>
    </row>
    <row r="31" spans="1:18" ht="15.75" customHeight="1">
      <c r="A31" s="23" t="s">
        <v>41</v>
      </c>
      <c r="B31" s="24" t="s">
        <v>7</v>
      </c>
      <c r="C31" s="24" t="s">
        <v>8</v>
      </c>
      <c r="D31" s="7">
        <v>105632</v>
      </c>
      <c r="E31" s="24" t="s">
        <v>12</v>
      </c>
      <c r="F31" s="11" t="str">
        <f t="shared" si="0"/>
        <v>OK</v>
      </c>
      <c r="G31" s="11" t="str">
        <f>IF(COUNTIFS($A:$A,A31,$E:E,E31)&gt;1,"NOK","OK")</f>
        <v>OK</v>
      </c>
      <c r="H31" s="11" t="str">
        <f t="shared" si="1"/>
        <v>OK</v>
      </c>
      <c r="I31" s="11" t="str">
        <f t="shared" si="2"/>
        <v>OK</v>
      </c>
      <c r="J31" s="11" t="str">
        <f t="shared" si="3"/>
        <v>OK</v>
      </c>
      <c r="K31" s="11" t="str">
        <f t="shared" si="4"/>
        <v>OK</v>
      </c>
      <c r="R31" t="str">
        <f t="shared" si="7"/>
        <v>Keep</v>
      </c>
    </row>
    <row r="32" spans="1:18" ht="15.75" customHeight="1">
      <c r="A32" s="23" t="s">
        <v>42</v>
      </c>
      <c r="B32" s="24" t="s">
        <v>7</v>
      </c>
      <c r="C32" s="24" t="s">
        <v>8</v>
      </c>
      <c r="D32" s="7">
        <v>102800</v>
      </c>
      <c r="E32" s="24" t="s">
        <v>12</v>
      </c>
      <c r="F32" s="11" t="str">
        <f t="shared" si="0"/>
        <v>OK</v>
      </c>
      <c r="G32" s="11" t="str">
        <f>IF(COUNTIFS($A:$A,A32,$E:E,E32)&gt;1,"NOK","OK")</f>
        <v>OK</v>
      </c>
      <c r="H32" s="11" t="str">
        <f t="shared" si="1"/>
        <v>OK</v>
      </c>
      <c r="I32" s="11" t="str">
        <f t="shared" si="2"/>
        <v>OK</v>
      </c>
      <c r="J32" s="11" t="str">
        <f t="shared" si="3"/>
        <v>OK</v>
      </c>
      <c r="K32" s="11" t="str">
        <f t="shared" si="4"/>
        <v>OK</v>
      </c>
      <c r="R32" t="str">
        <f t="shared" si="7"/>
        <v>Keep</v>
      </c>
    </row>
    <row r="33" spans="1:18" ht="15.75" customHeight="1">
      <c r="A33" s="23" t="s">
        <v>43</v>
      </c>
      <c r="B33" s="24" t="s">
        <v>11</v>
      </c>
      <c r="C33" s="24" t="s">
        <v>8</v>
      </c>
      <c r="D33" s="7">
        <v>90735</v>
      </c>
      <c r="E33" s="24" t="s">
        <v>9</v>
      </c>
      <c r="F33" s="11" t="str">
        <f t="shared" si="0"/>
        <v>OK</v>
      </c>
      <c r="G33" s="11" t="str">
        <f>IF(COUNTIFS($A:$A,A33,$E:E,E33)&gt;1,"NOK","OK")</f>
        <v>OK</v>
      </c>
      <c r="H33" s="11" t="str">
        <f t="shared" si="1"/>
        <v>OK</v>
      </c>
      <c r="I33" s="11" t="str">
        <f t="shared" si="2"/>
        <v>OK</v>
      </c>
      <c r="J33" s="11" t="str">
        <f t="shared" si="3"/>
        <v>OK</v>
      </c>
      <c r="K33" s="11" t="str">
        <f t="shared" si="4"/>
        <v>OK</v>
      </c>
      <c r="R33" t="str">
        <f t="shared" si="7"/>
        <v>Keep</v>
      </c>
    </row>
    <row r="34" spans="1:18" ht="15.75" customHeight="1">
      <c r="A34" s="23" t="s">
        <v>44</v>
      </c>
      <c r="B34" s="24" t="s">
        <v>7</v>
      </c>
      <c r="C34" s="24" t="s">
        <v>8</v>
      </c>
      <c r="D34" s="7">
        <v>90382</v>
      </c>
      <c r="E34" s="24" t="s">
        <v>9</v>
      </c>
      <c r="F34" s="11" t="str">
        <f t="shared" si="0"/>
        <v>OK</v>
      </c>
      <c r="G34" s="11" t="str">
        <f>IF(COUNTIFS($A:$A,A34,$E:E,E34)&gt;1,"NOK","OK")</f>
        <v>OK</v>
      </c>
      <c r="H34" s="11" t="str">
        <f t="shared" si="1"/>
        <v>OK</v>
      </c>
      <c r="I34" s="11" t="str">
        <f t="shared" si="2"/>
        <v>OK</v>
      </c>
      <c r="J34" s="11" t="str">
        <f t="shared" si="3"/>
        <v>OK</v>
      </c>
      <c r="K34" s="11" t="str">
        <f t="shared" si="4"/>
        <v>OK</v>
      </c>
      <c r="R34" t="str">
        <f t="shared" si="7"/>
        <v>Keep</v>
      </c>
    </row>
    <row r="35" spans="1:18" ht="15.75" customHeight="1">
      <c r="A35" s="23" t="s">
        <v>45</v>
      </c>
      <c r="B35" s="24" t="s">
        <v>25</v>
      </c>
      <c r="C35" s="24" t="s">
        <v>8</v>
      </c>
      <c r="D35" s="7">
        <v>89397</v>
      </c>
      <c r="E35" s="24" t="s">
        <v>9</v>
      </c>
      <c r="F35" s="11" t="str">
        <f t="shared" si="0"/>
        <v>OK</v>
      </c>
      <c r="G35" s="11" t="str">
        <f>IF(COUNTIFS($A:$A,A35,$E:E,E35)&gt;1,"NOK","OK")</f>
        <v>OK</v>
      </c>
      <c r="H35" s="11" t="str">
        <f t="shared" si="1"/>
        <v>OK</v>
      </c>
      <c r="I35" s="11" t="str">
        <f t="shared" si="2"/>
        <v>OK</v>
      </c>
      <c r="J35" s="11" t="str">
        <f t="shared" si="3"/>
        <v>OK</v>
      </c>
      <c r="K35" s="11" t="str">
        <f t="shared" si="4"/>
        <v>OK</v>
      </c>
      <c r="R35" t="str">
        <f t="shared" si="7"/>
        <v>Keep</v>
      </c>
    </row>
    <row r="36" spans="1:18" ht="15.75" customHeight="1">
      <c r="A36" s="23" t="s">
        <v>46</v>
      </c>
      <c r="B36" s="24" t="s">
        <v>11</v>
      </c>
      <c r="C36" s="24" t="s">
        <v>8</v>
      </c>
      <c r="D36" s="7">
        <v>85240</v>
      </c>
      <c r="E36" s="24" t="s">
        <v>9</v>
      </c>
      <c r="F36" s="11" t="str">
        <f t="shared" si="0"/>
        <v>OK</v>
      </c>
      <c r="G36" s="11" t="str">
        <f>IF(COUNTIFS($A:$A,A36,$E:E,E36)&gt;1,"NOK","OK")</f>
        <v>OK</v>
      </c>
      <c r="H36" s="11" t="str">
        <f t="shared" si="1"/>
        <v>OK</v>
      </c>
      <c r="I36" s="11" t="str">
        <f t="shared" si="2"/>
        <v>OK</v>
      </c>
      <c r="J36" s="11" t="str">
        <f t="shared" si="3"/>
        <v>OK</v>
      </c>
      <c r="K36" s="11" t="str">
        <f t="shared" si="4"/>
        <v>OK</v>
      </c>
      <c r="R36" t="str">
        <f t="shared" si="7"/>
        <v>Keep</v>
      </c>
    </row>
    <row r="37" spans="1:18" ht="15.75" customHeight="1">
      <c r="A37" s="23" t="s">
        <v>46</v>
      </c>
      <c r="B37" s="24" t="s">
        <v>11</v>
      </c>
      <c r="C37" s="24" t="s">
        <v>8</v>
      </c>
      <c r="D37" s="7">
        <v>85240</v>
      </c>
      <c r="E37" s="24" t="s">
        <v>16</v>
      </c>
      <c r="F37" s="11" t="str">
        <f t="shared" si="0"/>
        <v>OK</v>
      </c>
      <c r="G37" s="11" t="str">
        <f>IF(COUNTIFS($A:$A,A37,$E:E,E37)&gt;1,"NOK","OK")</f>
        <v>OK</v>
      </c>
      <c r="H37" s="11" t="str">
        <f t="shared" si="1"/>
        <v>OK</v>
      </c>
      <c r="I37" s="11" t="str">
        <f t="shared" si="2"/>
        <v>OK</v>
      </c>
      <c r="J37" s="11" t="str">
        <f t="shared" si="3"/>
        <v>OK</v>
      </c>
      <c r="K37" s="11" t="str">
        <f t="shared" si="4"/>
        <v>OK</v>
      </c>
      <c r="R37" t="str">
        <f t="shared" si="7"/>
        <v>Keep</v>
      </c>
    </row>
    <row r="38" spans="1:18" ht="15.75" customHeight="1">
      <c r="A38" s="23" t="s">
        <v>47</v>
      </c>
      <c r="B38" s="24" t="s">
        <v>25</v>
      </c>
      <c r="C38" s="24" t="s">
        <v>8</v>
      </c>
      <c r="D38" s="7">
        <v>81758</v>
      </c>
      <c r="E38" s="24" t="s">
        <v>9</v>
      </c>
      <c r="F38" s="11" t="str">
        <f t="shared" si="0"/>
        <v>OK</v>
      </c>
      <c r="G38" s="11" t="str">
        <f>IF(COUNTIFS($A:$A,A38,$E:E,E38)&gt;1,"NOK","OK")</f>
        <v>NOK</v>
      </c>
      <c r="H38" s="11" t="str">
        <f t="shared" si="1"/>
        <v>OK</v>
      </c>
      <c r="I38" s="11" t="str">
        <f t="shared" si="2"/>
        <v>OK</v>
      </c>
      <c r="J38" s="11" t="str">
        <f t="shared" si="3"/>
        <v>OK</v>
      </c>
      <c r="K38" s="11" t="str">
        <f t="shared" si="4"/>
        <v>OK</v>
      </c>
      <c r="R38" t="str">
        <f t="shared" si="7"/>
        <v>Hide</v>
      </c>
    </row>
    <row r="39" spans="1:18" ht="15">
      <c r="A39" s="23" t="s">
        <v>47</v>
      </c>
      <c r="B39" s="24" t="s">
        <v>25</v>
      </c>
      <c r="C39" s="24" t="s">
        <v>8</v>
      </c>
      <c r="D39" s="7">
        <v>81758</v>
      </c>
      <c r="E39" s="24" t="s">
        <v>9</v>
      </c>
      <c r="F39" s="11" t="str">
        <f t="shared" si="0"/>
        <v>OK</v>
      </c>
      <c r="G39" s="11" t="str">
        <f>IF(COUNTIFS($A:$A,A39,$E:E,E39)&gt;1,"NOK","OK")</f>
        <v>NOK</v>
      </c>
      <c r="H39" s="11" t="str">
        <f t="shared" si="1"/>
        <v>OK</v>
      </c>
      <c r="I39" s="11" t="str">
        <f t="shared" si="2"/>
        <v>OK</v>
      </c>
      <c r="J39" s="11" t="str">
        <f t="shared" si="3"/>
        <v>OK</v>
      </c>
      <c r="K39" s="11" t="str">
        <f t="shared" si="4"/>
        <v>OK</v>
      </c>
      <c r="R39" t="str">
        <f t="shared" si="6"/>
        <v>Hide</v>
      </c>
    </row>
    <row r="40" spans="1:18" ht="15">
      <c r="A40" s="23" t="s">
        <v>47</v>
      </c>
      <c r="B40" s="24" t="s">
        <v>25</v>
      </c>
      <c r="C40" s="24" t="s">
        <v>8</v>
      </c>
      <c r="D40" s="7">
        <v>81758</v>
      </c>
      <c r="E40" s="24" t="s">
        <v>12</v>
      </c>
      <c r="F40" s="11" t="str">
        <f t="shared" si="0"/>
        <v>OK</v>
      </c>
      <c r="G40" s="11" t="str">
        <f>IF(COUNTIFS($A:$A,A40,$E:E,E40)&gt;1,"NOK","OK")</f>
        <v>OK</v>
      </c>
      <c r="H40" s="11" t="str">
        <f t="shared" si="1"/>
        <v>OK</v>
      </c>
      <c r="I40" s="11" t="str">
        <f t="shared" si="2"/>
        <v>OK</v>
      </c>
      <c r="J40" s="11" t="str">
        <f t="shared" si="3"/>
        <v>OK</v>
      </c>
      <c r="K40" s="11" t="str">
        <f t="shared" si="4"/>
        <v>OK</v>
      </c>
      <c r="R40" t="str">
        <f t="shared" si="6"/>
        <v>Hide</v>
      </c>
    </row>
    <row r="41" spans="1:18" ht="15">
      <c r="A41" s="23" t="s">
        <v>48</v>
      </c>
      <c r="B41" s="24" t="s">
        <v>11</v>
      </c>
      <c r="C41" s="24" t="s">
        <v>8</v>
      </c>
      <c r="D41" s="7">
        <v>79583</v>
      </c>
      <c r="E41" s="24" t="s">
        <v>9</v>
      </c>
      <c r="F41" s="11" t="str">
        <f t="shared" si="0"/>
        <v>OK</v>
      </c>
      <c r="G41" s="11" t="str">
        <f>IF(COUNTIFS($A:$A,A41,$E:E,E41)&gt;1,"NOK","OK")</f>
        <v>OK</v>
      </c>
      <c r="H41" s="11" t="str">
        <f t="shared" si="1"/>
        <v>OK</v>
      </c>
      <c r="I41" s="11" t="str">
        <f t="shared" si="2"/>
        <v>OK</v>
      </c>
      <c r="J41" s="11" t="str">
        <f t="shared" si="3"/>
        <v>OK</v>
      </c>
      <c r="K41" s="11" t="str">
        <f t="shared" si="4"/>
        <v>OK</v>
      </c>
      <c r="R41" t="str">
        <f t="shared" ref="R41:R61" si="8">IF(COUNTIF(F41:K41, "NOK") &gt; 0, "Hide", "Keep")</f>
        <v>Keep</v>
      </c>
    </row>
    <row r="42" spans="1:18" ht="15">
      <c r="A42" s="23" t="s">
        <v>49</v>
      </c>
      <c r="B42" s="24" t="s">
        <v>7</v>
      </c>
      <c r="C42" s="24" t="s">
        <v>8</v>
      </c>
      <c r="D42" s="7">
        <v>77818</v>
      </c>
      <c r="E42" s="24" t="s">
        <v>9</v>
      </c>
      <c r="F42" s="11" t="str">
        <f t="shared" si="0"/>
        <v>OK</v>
      </c>
      <c r="G42" s="11" t="str">
        <f>IF(COUNTIFS($A:$A,A42,$E:E,E42)&gt;1,"NOK","OK")</f>
        <v>OK</v>
      </c>
      <c r="H42" s="11" t="str">
        <f t="shared" si="1"/>
        <v>OK</v>
      </c>
      <c r="I42" s="11" t="str">
        <f t="shared" si="2"/>
        <v>OK</v>
      </c>
      <c r="J42" s="11" t="str">
        <f t="shared" si="3"/>
        <v>OK</v>
      </c>
      <c r="K42" s="11" t="str">
        <f t="shared" si="4"/>
        <v>OK</v>
      </c>
      <c r="R42" t="str">
        <f t="shared" si="8"/>
        <v>Keep</v>
      </c>
    </row>
    <row r="43" spans="1:18" ht="15">
      <c r="A43" s="23" t="s">
        <v>50</v>
      </c>
      <c r="B43" s="24" t="s">
        <v>11</v>
      </c>
      <c r="C43" s="24" t="s">
        <v>8</v>
      </c>
      <c r="D43" s="7">
        <v>75792</v>
      </c>
      <c r="E43" s="24" t="s">
        <v>12</v>
      </c>
      <c r="F43" s="11" t="str">
        <f t="shared" si="0"/>
        <v>OK</v>
      </c>
      <c r="G43" s="11" t="str">
        <f>IF(COUNTIFS($A:$A,A43,$E:E,E43)&gt;1,"NOK","OK")</f>
        <v>OK</v>
      </c>
      <c r="H43" s="11" t="str">
        <f t="shared" si="1"/>
        <v>OK</v>
      </c>
      <c r="I43" s="11" t="str">
        <f t="shared" si="2"/>
        <v>OK</v>
      </c>
      <c r="J43" s="11" t="str">
        <f t="shared" si="3"/>
        <v>OK</v>
      </c>
      <c r="K43" s="11" t="str">
        <f t="shared" si="4"/>
        <v>OK</v>
      </c>
      <c r="R43" t="str">
        <f t="shared" si="8"/>
        <v>Keep</v>
      </c>
    </row>
    <row r="44" spans="1:18" ht="15">
      <c r="A44" s="23" t="s">
        <v>51</v>
      </c>
      <c r="B44" s="24" t="s">
        <v>7</v>
      </c>
      <c r="C44" s="24" t="s">
        <v>8</v>
      </c>
      <c r="D44" s="7">
        <v>70180</v>
      </c>
      <c r="E44" s="24" t="s">
        <v>12</v>
      </c>
      <c r="F44" s="11" t="str">
        <f t="shared" si="0"/>
        <v>OK</v>
      </c>
      <c r="G44" s="11" t="str">
        <f>IF(COUNTIFS($A:$A,A44,$E:E,E44)&gt;1,"NOK","OK")</f>
        <v>OK</v>
      </c>
      <c r="H44" s="11" t="str">
        <f t="shared" si="1"/>
        <v>OK</v>
      </c>
      <c r="I44" s="11" t="str">
        <f t="shared" si="2"/>
        <v>OK</v>
      </c>
      <c r="J44" s="11" t="str">
        <f t="shared" si="3"/>
        <v>OK</v>
      </c>
      <c r="K44" s="11" t="str">
        <f t="shared" si="4"/>
        <v>OK</v>
      </c>
      <c r="R44" t="str">
        <f t="shared" si="8"/>
        <v>Keep</v>
      </c>
    </row>
    <row r="45" spans="1:18" ht="15">
      <c r="A45" s="23" t="s">
        <v>52</v>
      </c>
      <c r="B45" s="24" t="s">
        <v>7</v>
      </c>
      <c r="C45" s="24" t="s">
        <v>8</v>
      </c>
      <c r="D45" s="7">
        <v>68567</v>
      </c>
      <c r="E45" s="24" t="s">
        <v>9</v>
      </c>
      <c r="F45" s="11" t="str">
        <f t="shared" si="0"/>
        <v>OK</v>
      </c>
      <c r="G45" s="11" t="str">
        <f>IF(COUNTIFS($A:$A,A45,$E:E,E45)&gt;1,"NOK","OK")</f>
        <v>OK</v>
      </c>
      <c r="H45" s="11" t="str">
        <f t="shared" si="1"/>
        <v>OK</v>
      </c>
      <c r="I45" s="11" t="str">
        <f t="shared" si="2"/>
        <v>OK</v>
      </c>
      <c r="J45" s="11" t="str">
        <f t="shared" si="3"/>
        <v>OK</v>
      </c>
      <c r="K45" s="11" t="str">
        <f t="shared" si="4"/>
        <v>OK</v>
      </c>
      <c r="R45" t="str">
        <f t="shared" si="8"/>
        <v>Keep</v>
      </c>
    </row>
    <row r="46" spans="1:18" ht="15">
      <c r="A46" s="23" t="s">
        <v>53</v>
      </c>
      <c r="B46" s="24" t="s">
        <v>25</v>
      </c>
      <c r="C46" s="24" t="s">
        <v>8</v>
      </c>
      <c r="D46" s="7">
        <v>65814</v>
      </c>
      <c r="E46" s="24" t="s">
        <v>16</v>
      </c>
      <c r="F46" s="11" t="str">
        <f t="shared" si="0"/>
        <v>OK</v>
      </c>
      <c r="G46" s="11" t="str">
        <f>IF(COUNTIFS($A:$A,A46,$E:E,E46)&gt;1,"NOK","OK")</f>
        <v>OK</v>
      </c>
      <c r="H46" s="11" t="str">
        <f t="shared" si="1"/>
        <v>OK</v>
      </c>
      <c r="I46" s="11" t="str">
        <f t="shared" si="2"/>
        <v>OK</v>
      </c>
      <c r="J46" s="11" t="str">
        <f t="shared" si="3"/>
        <v>OK</v>
      </c>
      <c r="K46" s="11" t="str">
        <f t="shared" si="4"/>
        <v>OK</v>
      </c>
      <c r="R46" t="str">
        <f t="shared" si="8"/>
        <v>Keep</v>
      </c>
    </row>
    <row r="47" spans="1:18" ht="15">
      <c r="A47" s="23" t="s">
        <v>54</v>
      </c>
      <c r="B47" s="24" t="s">
        <v>11</v>
      </c>
      <c r="C47" s="24" t="s">
        <v>8</v>
      </c>
      <c r="D47" s="7">
        <v>63174</v>
      </c>
      <c r="E47" s="24" t="s">
        <v>9</v>
      </c>
      <c r="F47" s="11" t="str">
        <f t="shared" si="0"/>
        <v>OK</v>
      </c>
      <c r="G47" s="11" t="str">
        <f>IF(COUNTIFS($A:$A,A47,$E:E,E47)&gt;1,"NOK","OK")</f>
        <v>OK</v>
      </c>
      <c r="H47" s="11" t="str">
        <f t="shared" si="1"/>
        <v>OK</v>
      </c>
      <c r="I47" s="11" t="str">
        <f t="shared" si="2"/>
        <v>OK</v>
      </c>
      <c r="J47" s="11" t="str">
        <f t="shared" si="3"/>
        <v>OK</v>
      </c>
      <c r="K47" s="11" t="str">
        <f t="shared" si="4"/>
        <v>OK</v>
      </c>
      <c r="R47" t="str">
        <f t="shared" si="8"/>
        <v>Keep</v>
      </c>
    </row>
    <row r="48" spans="1:18" ht="15">
      <c r="A48" s="23" t="s">
        <v>55</v>
      </c>
      <c r="B48" s="24" t="s">
        <v>7</v>
      </c>
      <c r="C48" s="24" t="s">
        <v>8</v>
      </c>
      <c r="D48" s="7">
        <v>59319</v>
      </c>
      <c r="E48" s="24" t="s">
        <v>12</v>
      </c>
      <c r="F48" s="11" t="str">
        <f t="shared" si="0"/>
        <v>OK</v>
      </c>
      <c r="G48" s="11" t="str">
        <f>IF(COUNTIFS($A:$A,A48,$E:E,E48)&gt;1,"NOK","OK")</f>
        <v>OK</v>
      </c>
      <c r="H48" s="11" t="str">
        <f t="shared" si="1"/>
        <v>OK</v>
      </c>
      <c r="I48" s="11" t="str">
        <f t="shared" si="2"/>
        <v>OK</v>
      </c>
      <c r="J48" s="11" t="str">
        <f t="shared" si="3"/>
        <v>OK</v>
      </c>
      <c r="K48" s="11" t="str">
        <f t="shared" si="4"/>
        <v>OK</v>
      </c>
      <c r="R48" t="str">
        <f t="shared" si="8"/>
        <v>Keep</v>
      </c>
    </row>
    <row r="49" spans="1:18" ht="15">
      <c r="A49" s="23" t="s">
        <v>56</v>
      </c>
      <c r="B49" s="24" t="s">
        <v>11</v>
      </c>
      <c r="C49" s="24" t="s">
        <v>8</v>
      </c>
      <c r="D49" s="7">
        <v>36780</v>
      </c>
      <c r="E49" s="24" t="s">
        <v>12</v>
      </c>
      <c r="F49" s="11" t="str">
        <f t="shared" si="0"/>
        <v>OK</v>
      </c>
      <c r="G49" s="11" t="str">
        <f>IF(COUNTIFS($A:$A,A49,$E:E,E49)&gt;1,"NOK","OK")</f>
        <v>OK</v>
      </c>
      <c r="H49" s="11" t="str">
        <f t="shared" si="1"/>
        <v>OK</v>
      </c>
      <c r="I49" s="11" t="str">
        <f t="shared" si="2"/>
        <v>OK</v>
      </c>
      <c r="J49" s="11" t="str">
        <f t="shared" si="3"/>
        <v>OK</v>
      </c>
      <c r="K49" s="11" t="str">
        <f t="shared" si="4"/>
        <v>OK</v>
      </c>
      <c r="R49" t="str">
        <f t="shared" si="8"/>
        <v>Keep</v>
      </c>
    </row>
    <row r="50" spans="1:18" ht="15">
      <c r="A50" s="23" t="s">
        <v>57</v>
      </c>
      <c r="B50" s="24" t="s">
        <v>7</v>
      </c>
      <c r="C50" s="24" t="s">
        <v>8</v>
      </c>
      <c r="D50" s="7">
        <v>31826</v>
      </c>
      <c r="E50" s="24" t="s">
        <v>12</v>
      </c>
      <c r="F50" s="11" t="str">
        <f t="shared" si="0"/>
        <v>OK</v>
      </c>
      <c r="G50" s="11" t="str">
        <f>IF(COUNTIFS($A:$A,A50,$E:E,E50)&gt;1,"NOK","OK")</f>
        <v>OK</v>
      </c>
      <c r="H50" s="11" t="str">
        <f t="shared" si="1"/>
        <v>OK</v>
      </c>
      <c r="I50" s="11" t="str">
        <f t="shared" si="2"/>
        <v>OK</v>
      </c>
      <c r="J50" s="11" t="str">
        <f t="shared" si="3"/>
        <v>OK</v>
      </c>
      <c r="K50" s="11" t="str">
        <f t="shared" si="4"/>
        <v>OK</v>
      </c>
      <c r="R50" t="str">
        <f t="shared" si="8"/>
        <v>Keep</v>
      </c>
    </row>
    <row r="51" spans="1:18" ht="15">
      <c r="A51" s="23" t="s">
        <v>58</v>
      </c>
      <c r="B51" s="24" t="s">
        <v>25</v>
      </c>
      <c r="C51" s="24" t="s">
        <v>8</v>
      </c>
      <c r="D51" s="7">
        <v>25574</v>
      </c>
      <c r="E51" s="24" t="s">
        <v>9</v>
      </c>
      <c r="F51" s="11" t="str">
        <f t="shared" si="0"/>
        <v>OK</v>
      </c>
      <c r="G51" s="11" t="str">
        <f>IF(COUNTIFS($A:$A,A51,$E:E,E51)&gt;1,"NOK","OK")</f>
        <v>OK</v>
      </c>
      <c r="H51" s="11" t="str">
        <f t="shared" si="1"/>
        <v>OK</v>
      </c>
      <c r="I51" s="11" t="str">
        <f t="shared" si="2"/>
        <v>OK</v>
      </c>
      <c r="J51" s="11" t="str">
        <f t="shared" si="3"/>
        <v>OK</v>
      </c>
      <c r="K51" s="11" t="str">
        <f t="shared" si="4"/>
        <v>OK</v>
      </c>
      <c r="R51" t="str">
        <f t="shared" si="8"/>
        <v>Keep</v>
      </c>
    </row>
    <row r="52" spans="1:18" ht="15">
      <c r="A52" s="23" t="s">
        <v>59</v>
      </c>
      <c r="B52" s="24" t="s">
        <v>25</v>
      </c>
      <c r="C52" s="24" t="s">
        <v>8</v>
      </c>
      <c r="D52" s="7">
        <v>15032</v>
      </c>
      <c r="E52" s="24" t="s">
        <v>16</v>
      </c>
      <c r="F52" s="11" t="str">
        <f t="shared" si="0"/>
        <v>OK</v>
      </c>
      <c r="G52" s="11" t="str">
        <f>IF(COUNTIFS($A:$A,A52,$E:E,E52)&gt;1,"NOK","OK")</f>
        <v>OK</v>
      </c>
      <c r="H52" s="11" t="str">
        <f t="shared" si="1"/>
        <v>OK</v>
      </c>
      <c r="I52" s="11" t="str">
        <f t="shared" si="2"/>
        <v>OK</v>
      </c>
      <c r="J52" s="11" t="str">
        <f t="shared" si="3"/>
        <v>OK</v>
      </c>
      <c r="K52" s="11" t="str">
        <f t="shared" si="4"/>
        <v>OK</v>
      </c>
      <c r="R52" t="str">
        <f t="shared" si="8"/>
        <v>Keep</v>
      </c>
    </row>
    <row r="53" spans="1:18" ht="15">
      <c r="A53" s="23" t="s">
        <v>60</v>
      </c>
      <c r="B53" s="24" t="s">
        <v>11</v>
      </c>
      <c r="C53" s="24" t="s">
        <v>8</v>
      </c>
      <c r="D53" s="7">
        <v>14341</v>
      </c>
      <c r="E53" s="24" t="s">
        <v>12</v>
      </c>
      <c r="F53" s="11" t="str">
        <f t="shared" si="0"/>
        <v>OK</v>
      </c>
      <c r="G53" s="11" t="str">
        <f>IF(COUNTIFS($A:$A,A53,$E:E,E53)&gt;1,"NOK","OK")</f>
        <v>OK</v>
      </c>
      <c r="H53" s="11" t="str">
        <f t="shared" si="1"/>
        <v>OK</v>
      </c>
      <c r="I53" s="11" t="str">
        <f t="shared" si="2"/>
        <v>OK</v>
      </c>
      <c r="J53" s="11" t="str">
        <f t="shared" si="3"/>
        <v>OK</v>
      </c>
      <c r="K53" s="11" t="str">
        <f t="shared" si="4"/>
        <v>OK</v>
      </c>
      <c r="R53" t="str">
        <f t="shared" si="8"/>
        <v>Keep</v>
      </c>
    </row>
    <row r="54" spans="1:18" ht="15">
      <c r="A54" s="23" t="s">
        <v>61</v>
      </c>
      <c r="B54" s="24" t="s">
        <v>25</v>
      </c>
      <c r="C54" s="24" t="s">
        <v>8</v>
      </c>
      <c r="D54" s="7">
        <v>9566</v>
      </c>
      <c r="E54" s="24" t="s">
        <v>12</v>
      </c>
      <c r="F54" s="11" t="str">
        <f t="shared" si="0"/>
        <v>OK</v>
      </c>
      <c r="G54" s="11" t="str">
        <f>IF(COUNTIFS($A:$A,A54,$E:E,E54)&gt;1,"NOK","OK")</f>
        <v>OK</v>
      </c>
      <c r="H54" s="11" t="str">
        <f t="shared" si="1"/>
        <v>OK</v>
      </c>
      <c r="I54" s="11" t="str">
        <f t="shared" si="2"/>
        <v>OK</v>
      </c>
      <c r="J54" s="11" t="str">
        <f t="shared" si="3"/>
        <v>OK</v>
      </c>
      <c r="K54" s="11" t="str">
        <f t="shared" si="4"/>
        <v>OK</v>
      </c>
      <c r="R54" t="str">
        <f t="shared" si="8"/>
        <v>Keep</v>
      </c>
    </row>
    <row r="55" spans="1:18" ht="15">
      <c r="A55" s="23" t="s">
        <v>62</v>
      </c>
      <c r="B55" s="24" t="s">
        <v>11</v>
      </c>
      <c r="C55" s="24" t="s">
        <v>8</v>
      </c>
      <c r="D55" s="7">
        <v>6390</v>
      </c>
      <c r="E55" s="24" t="s">
        <v>16</v>
      </c>
      <c r="F55" s="11" t="str">
        <f t="shared" si="0"/>
        <v>OK</v>
      </c>
      <c r="G55" s="11" t="str">
        <f>IF(COUNTIFS($A:$A,A55,$E:E,E55)&gt;1,"NOK","OK")</f>
        <v>OK</v>
      </c>
      <c r="H55" s="11" t="str">
        <f t="shared" si="1"/>
        <v>OK</v>
      </c>
      <c r="I55" s="11" t="str">
        <f t="shared" si="2"/>
        <v>OK</v>
      </c>
      <c r="J55" s="11" t="str">
        <f t="shared" si="3"/>
        <v>OK</v>
      </c>
      <c r="K55" s="11" t="str">
        <f t="shared" si="4"/>
        <v>OK</v>
      </c>
      <c r="R55" t="str">
        <f t="shared" si="8"/>
        <v>Keep</v>
      </c>
    </row>
    <row r="56" spans="1:18" ht="15">
      <c r="A56" s="23" t="s">
        <v>63</v>
      </c>
      <c r="B56" s="24" t="s">
        <v>25</v>
      </c>
      <c r="C56" s="24" t="s">
        <v>64</v>
      </c>
      <c r="D56" s="7">
        <v>35704</v>
      </c>
      <c r="E56" s="24" t="s">
        <v>16</v>
      </c>
      <c r="F56" s="11" t="str">
        <f t="shared" si="0"/>
        <v>OK</v>
      </c>
      <c r="G56" s="11" t="str">
        <f>IF(COUNTIFS($A:$A,A56,$E:E,E56)&gt;1,"NOK","OK")</f>
        <v>OK</v>
      </c>
      <c r="H56" s="11" t="str">
        <f t="shared" si="1"/>
        <v>OK</v>
      </c>
      <c r="I56" s="11" t="str">
        <f t="shared" si="2"/>
        <v>OK</v>
      </c>
      <c r="J56" s="11" t="str">
        <f t="shared" si="3"/>
        <v>OK</v>
      </c>
      <c r="K56" s="11" t="str">
        <f t="shared" si="4"/>
        <v>OK</v>
      </c>
      <c r="R56" t="str">
        <f t="shared" si="8"/>
        <v>Keep</v>
      </c>
    </row>
    <row r="57" spans="1:18" ht="15">
      <c r="A57" s="23" t="s">
        <v>65</v>
      </c>
      <c r="B57" s="24" t="s">
        <v>25</v>
      </c>
      <c r="C57" s="24" t="s">
        <v>64</v>
      </c>
      <c r="D57" s="7">
        <v>94050</v>
      </c>
      <c r="E57" s="24" t="s">
        <v>12</v>
      </c>
      <c r="F57" s="11" t="str">
        <f t="shared" si="0"/>
        <v>OK</v>
      </c>
      <c r="G57" s="11" t="str">
        <f>IF(COUNTIFS($A:$A,A57,$E:E,E57)&gt;1,"NOK","OK")</f>
        <v>OK</v>
      </c>
      <c r="H57" s="11" t="str">
        <f t="shared" si="1"/>
        <v>OK</v>
      </c>
      <c r="I57" s="11" t="str">
        <f t="shared" si="2"/>
        <v>OK</v>
      </c>
      <c r="J57" s="11" t="str">
        <f t="shared" si="3"/>
        <v>OK</v>
      </c>
      <c r="K57" s="11" t="str">
        <f t="shared" si="4"/>
        <v>OK</v>
      </c>
      <c r="R57" t="str">
        <f t="shared" si="8"/>
        <v>Keep</v>
      </c>
    </row>
    <row r="58" spans="1:18" ht="15">
      <c r="A58" s="23" t="s">
        <v>66</v>
      </c>
      <c r="B58" s="24" t="s">
        <v>25</v>
      </c>
      <c r="C58" s="24" t="s">
        <v>64</v>
      </c>
      <c r="D58" s="7">
        <v>197320</v>
      </c>
      <c r="E58" s="24" t="s">
        <v>16</v>
      </c>
      <c r="F58" s="11" t="str">
        <f t="shared" si="0"/>
        <v>OK</v>
      </c>
      <c r="G58" s="11" t="str">
        <f>IF(COUNTIFS($A:$A,A58,$E:E,E58)&gt;1,"NOK","OK")</f>
        <v>OK</v>
      </c>
      <c r="H58" s="11" t="str">
        <f t="shared" si="1"/>
        <v>OK</v>
      </c>
      <c r="I58" s="11" t="str">
        <f t="shared" si="2"/>
        <v>OK</v>
      </c>
      <c r="J58" s="11" t="str">
        <f t="shared" si="3"/>
        <v>OK</v>
      </c>
      <c r="K58" s="11" t="str">
        <f t="shared" si="4"/>
        <v>OK</v>
      </c>
      <c r="R58" t="str">
        <f t="shared" si="8"/>
        <v>Keep</v>
      </c>
    </row>
    <row r="59" spans="1:18" ht="15">
      <c r="A59" s="23" t="s">
        <v>67</v>
      </c>
      <c r="B59" s="24" t="s">
        <v>25</v>
      </c>
      <c r="C59" s="24" t="s">
        <v>64</v>
      </c>
      <c r="D59" s="7">
        <v>225091</v>
      </c>
      <c r="E59" s="24" t="s">
        <v>9</v>
      </c>
      <c r="F59" s="11" t="str">
        <f t="shared" si="0"/>
        <v>OK</v>
      </c>
      <c r="G59" s="11" t="str">
        <f>IF(COUNTIFS($A:$A,A59,$E:E,E59)&gt;1,"NOK","OK")</f>
        <v>OK</v>
      </c>
      <c r="H59" s="11" t="str">
        <f t="shared" si="1"/>
        <v>OK</v>
      </c>
      <c r="I59" s="11" t="str">
        <f t="shared" si="2"/>
        <v>OK</v>
      </c>
      <c r="J59" s="11" t="str">
        <f t="shared" si="3"/>
        <v>OK</v>
      </c>
      <c r="K59" s="11" t="str">
        <f t="shared" si="4"/>
        <v>OK</v>
      </c>
      <c r="R59" t="str">
        <f t="shared" si="8"/>
        <v>Keep</v>
      </c>
    </row>
    <row r="60" spans="1:18" ht="15">
      <c r="A60" s="23" t="s">
        <v>68</v>
      </c>
      <c r="B60" s="24" t="s">
        <v>25</v>
      </c>
      <c r="C60" s="24" t="s">
        <v>64</v>
      </c>
      <c r="D60" s="7">
        <v>89439</v>
      </c>
      <c r="E60" s="24" t="s">
        <v>9</v>
      </c>
      <c r="F60" s="11" t="str">
        <f t="shared" si="0"/>
        <v>OK</v>
      </c>
      <c r="G60" s="11" t="str">
        <f>IF(COUNTIFS($A:$A,A60,$E:E,E60)&gt;1,"NOK","OK")</f>
        <v>OK</v>
      </c>
      <c r="H60" s="11" t="str">
        <f t="shared" si="1"/>
        <v>OK</v>
      </c>
      <c r="I60" s="11" t="str">
        <f t="shared" si="2"/>
        <v>OK</v>
      </c>
      <c r="J60" s="11" t="str">
        <f t="shared" si="3"/>
        <v>OK</v>
      </c>
      <c r="K60" s="11" t="str">
        <f t="shared" si="4"/>
        <v>OK</v>
      </c>
      <c r="R60" t="str">
        <f t="shared" si="8"/>
        <v>Keep</v>
      </c>
    </row>
    <row r="61" spans="1:18" ht="15">
      <c r="A61" s="24" t="s">
        <v>25</v>
      </c>
      <c r="B61" s="23" t="s">
        <v>69</v>
      </c>
      <c r="C61" s="24" t="s">
        <v>64</v>
      </c>
      <c r="D61" s="7">
        <v>191754</v>
      </c>
      <c r="E61" s="24" t="s">
        <v>9</v>
      </c>
      <c r="F61" s="11" t="str">
        <f t="shared" si="0"/>
        <v>OK</v>
      </c>
      <c r="G61" s="11" t="str">
        <f>IF(COUNTIFS($A:$A,A61,$E:E,E61)&gt;1,"NOK","OK")</f>
        <v>OK</v>
      </c>
      <c r="H61" s="11" t="str">
        <f t="shared" si="1"/>
        <v>NOK</v>
      </c>
      <c r="I61" s="11" t="str">
        <f t="shared" si="2"/>
        <v>OK</v>
      </c>
      <c r="J61" s="11" t="str">
        <f t="shared" si="3"/>
        <v>OK</v>
      </c>
      <c r="K61" s="11" t="str">
        <f t="shared" si="4"/>
        <v>OK</v>
      </c>
      <c r="R61" t="str">
        <f t="shared" si="8"/>
        <v>Hide</v>
      </c>
    </row>
    <row r="62" spans="1:18" ht="15">
      <c r="A62" s="23" t="s">
        <v>70</v>
      </c>
      <c r="B62" s="24" t="s">
        <v>25</v>
      </c>
      <c r="C62" s="24" t="s">
        <v>64</v>
      </c>
      <c r="D62" s="7">
        <v>92985</v>
      </c>
      <c r="E62" s="24" t="s">
        <v>12</v>
      </c>
      <c r="F62" s="11" t="str">
        <f t="shared" si="0"/>
        <v>OK</v>
      </c>
      <c r="G62" s="11" t="str">
        <f>IF(COUNTIFS($A:$A,A62,$E:E,E62)&gt;1,"NOK","OK")</f>
        <v>OK</v>
      </c>
      <c r="H62" s="11" t="str">
        <f t="shared" si="1"/>
        <v>OK</v>
      </c>
      <c r="I62" s="11" t="str">
        <f t="shared" si="2"/>
        <v>OK</v>
      </c>
      <c r="J62" s="11" t="str">
        <f t="shared" si="3"/>
        <v>OK</v>
      </c>
      <c r="K62" s="11" t="str">
        <f t="shared" si="4"/>
        <v>OK</v>
      </c>
      <c r="R62" t="str">
        <f t="shared" si="6"/>
        <v>Hide</v>
      </c>
    </row>
    <row r="63" spans="1:18" ht="15">
      <c r="A63" s="23" t="s">
        <v>71</v>
      </c>
      <c r="B63" s="24" t="s">
        <v>25</v>
      </c>
      <c r="C63" s="24" t="s">
        <v>64</v>
      </c>
      <c r="D63" s="7">
        <v>214137</v>
      </c>
      <c r="E63" s="24" t="s">
        <v>12</v>
      </c>
      <c r="F63" s="11" t="str">
        <f t="shared" si="0"/>
        <v>OK</v>
      </c>
      <c r="G63" s="11" t="str">
        <f>IF(COUNTIFS($A:$A,A63,$E:E,E63)&gt;1,"NOK","OK")</f>
        <v>OK</v>
      </c>
      <c r="H63" s="11" t="str">
        <f t="shared" si="1"/>
        <v>OK</v>
      </c>
      <c r="I63" s="11" t="str">
        <f t="shared" si="2"/>
        <v>OK</v>
      </c>
      <c r="J63" s="11" t="str">
        <f t="shared" si="3"/>
        <v>OK</v>
      </c>
      <c r="K63" s="11" t="str">
        <f t="shared" si="4"/>
        <v>OK</v>
      </c>
      <c r="R63" t="str">
        <f t="shared" ref="R63:R82" si="9">IF(COUNTIF(F63:K63, "NOK") &gt; 0, "Hide", "Keep")</f>
        <v>Keep</v>
      </c>
    </row>
    <row r="64" spans="1:18" ht="15">
      <c r="A64" s="23" t="s">
        <v>72</v>
      </c>
      <c r="B64" s="24" t="s">
        <v>7</v>
      </c>
      <c r="C64" s="24" t="s">
        <v>64</v>
      </c>
      <c r="D64" s="7">
        <v>143171</v>
      </c>
      <c r="E64" s="24" t="s">
        <v>12</v>
      </c>
      <c r="F64" s="11" t="str">
        <f t="shared" si="0"/>
        <v>OK</v>
      </c>
      <c r="G64" s="11" t="str">
        <f>IF(COUNTIFS($A:$A,A64,$E:E,E64)&gt;1,"NOK","OK")</f>
        <v>OK</v>
      </c>
      <c r="H64" s="11" t="str">
        <f t="shared" si="1"/>
        <v>OK</v>
      </c>
      <c r="I64" s="11" t="str">
        <f t="shared" si="2"/>
        <v>OK</v>
      </c>
      <c r="J64" s="11" t="str">
        <f t="shared" si="3"/>
        <v>OK</v>
      </c>
      <c r="K64" s="11" t="str">
        <f t="shared" si="4"/>
        <v>OK</v>
      </c>
      <c r="R64" t="str">
        <f t="shared" si="9"/>
        <v>Keep</v>
      </c>
    </row>
    <row r="65" spans="1:18" ht="15">
      <c r="A65" s="23" t="s">
        <v>73</v>
      </c>
      <c r="B65" s="24" t="s">
        <v>25</v>
      </c>
      <c r="C65" s="24" t="s">
        <v>64</v>
      </c>
      <c r="D65" s="7">
        <v>78602</v>
      </c>
      <c r="E65" s="24" t="s">
        <v>9</v>
      </c>
      <c r="F65" s="11" t="str">
        <f t="shared" si="0"/>
        <v>OK</v>
      </c>
      <c r="G65" s="11" t="str">
        <f>IF(COUNTIFS($A:$A,A65,$E:E,E65)&gt;1,"NOK","OK")</f>
        <v>OK</v>
      </c>
      <c r="H65" s="11" t="str">
        <f t="shared" si="1"/>
        <v>OK</v>
      </c>
      <c r="I65" s="11" t="str">
        <f t="shared" si="2"/>
        <v>OK</v>
      </c>
      <c r="J65" s="11" t="str">
        <f t="shared" si="3"/>
        <v>OK</v>
      </c>
      <c r="K65" s="11" t="str">
        <f t="shared" si="4"/>
        <v>OK</v>
      </c>
      <c r="R65" t="str">
        <f t="shared" si="9"/>
        <v>Keep</v>
      </c>
    </row>
    <row r="66" spans="1:18" ht="15">
      <c r="A66" s="23" t="s">
        <v>74</v>
      </c>
      <c r="B66" s="24" t="s">
        <v>25</v>
      </c>
      <c r="C66" s="24" t="s">
        <v>64</v>
      </c>
      <c r="D66" s="7">
        <v>160416</v>
      </c>
      <c r="E66" s="24" t="s">
        <v>12</v>
      </c>
      <c r="F66" s="11" t="str">
        <f t="shared" si="0"/>
        <v>OK</v>
      </c>
      <c r="G66" s="11" t="str">
        <f>IF(COUNTIFS($A:$A,A66,$E:E,E66)&gt;1,"NOK","OK")</f>
        <v>OK</v>
      </c>
      <c r="H66" s="11" t="str">
        <f t="shared" si="1"/>
        <v>OK</v>
      </c>
      <c r="I66" s="11" t="str">
        <f t="shared" si="2"/>
        <v>OK</v>
      </c>
      <c r="J66" s="11" t="str">
        <f t="shared" si="3"/>
        <v>OK</v>
      </c>
      <c r="K66" s="11" t="str">
        <f t="shared" si="4"/>
        <v>OK</v>
      </c>
      <c r="R66" t="str">
        <f t="shared" si="9"/>
        <v>Keep</v>
      </c>
    </row>
    <row r="67" spans="1:18" ht="15">
      <c r="A67" s="23" t="s">
        <v>75</v>
      </c>
      <c r="B67" s="24" t="s">
        <v>7</v>
      </c>
      <c r="C67" s="24" t="s">
        <v>64</v>
      </c>
      <c r="D67" s="7">
        <v>177317</v>
      </c>
      <c r="E67" s="24" t="s">
        <v>16</v>
      </c>
      <c r="F67" s="11" t="str">
        <f t="shared" si="0"/>
        <v>OK</v>
      </c>
      <c r="G67" s="11" t="str">
        <f>IF(COUNTIFS($A:$A,A67,$E:E,E67)&gt;1,"NOK","OK")</f>
        <v>OK</v>
      </c>
      <c r="H67" s="11" t="str">
        <f t="shared" si="1"/>
        <v>OK</v>
      </c>
      <c r="I67" s="11" t="str">
        <f t="shared" si="2"/>
        <v>OK</v>
      </c>
      <c r="J67" s="11" t="str">
        <f t="shared" si="3"/>
        <v>OK</v>
      </c>
      <c r="K67" s="11" t="str">
        <f t="shared" si="4"/>
        <v>OK</v>
      </c>
      <c r="R67" t="str">
        <f t="shared" si="9"/>
        <v>Keep</v>
      </c>
    </row>
    <row r="68" spans="1:18" ht="15">
      <c r="A68" s="23" t="s">
        <v>76</v>
      </c>
      <c r="B68" s="24" t="s">
        <v>7</v>
      </c>
      <c r="C68" s="24" t="s">
        <v>64</v>
      </c>
      <c r="D68" s="7">
        <v>280116</v>
      </c>
      <c r="E68" s="24" t="s">
        <v>12</v>
      </c>
      <c r="F68" s="11" t="str">
        <f t="shared" ref="F68:F131" si="10">IF(COUNTA($A68:$E68),"OK","NOK")</f>
        <v>OK</v>
      </c>
      <c r="G68" s="11" t="str">
        <f>IF(COUNTIFS($A:$A,A68,$E:E,E68)&gt;1,"NOK","OK")</f>
        <v>OK</v>
      </c>
      <c r="H68" s="11" t="str">
        <f t="shared" ref="H68:H131" si="11">IF(OR(B68="Corporate", B68="Emerging", B68="Enterprise", B68="Small Business"),"OK","NOK")</f>
        <v>OK</v>
      </c>
      <c r="I68" s="11" t="str">
        <f t="shared" ref="I68:I131" si="12">IF(OR(C68="ANZ", C68="DACH", C68="France", C68="North America", C68="UK"),"OK","NOK")</f>
        <v>OK</v>
      </c>
      <c r="J68" s="11" t="str">
        <f t="shared" ref="J68:J131" si="13">IF(OR(D68&lt;=0, D68&gt;300000),"NOK","OK")</f>
        <v>OK</v>
      </c>
      <c r="K68" s="11" t="str">
        <f t="shared" ref="K68:K131" si="14">IF(OR(E68="FY23", E68="FY24", E68="FY25"),"OK","NOK")</f>
        <v>OK</v>
      </c>
      <c r="R68" t="str">
        <f t="shared" si="9"/>
        <v>Keep</v>
      </c>
    </row>
    <row r="69" spans="1:18" ht="15">
      <c r="A69" s="23" t="s">
        <v>77</v>
      </c>
      <c r="B69" s="24" t="s">
        <v>7</v>
      </c>
      <c r="C69" s="24" t="s">
        <v>64</v>
      </c>
      <c r="D69" s="7">
        <v>33394</v>
      </c>
      <c r="E69" s="24" t="s">
        <v>16</v>
      </c>
      <c r="F69" s="11" t="str">
        <f t="shared" si="10"/>
        <v>OK</v>
      </c>
      <c r="G69" s="11" t="str">
        <f>IF(COUNTIFS($A:$A,A69,$E:E,E69)&gt;1,"NOK","OK")</f>
        <v>OK</v>
      </c>
      <c r="H69" s="11" t="str">
        <f t="shared" si="11"/>
        <v>OK</v>
      </c>
      <c r="I69" s="11" t="str">
        <f t="shared" si="12"/>
        <v>OK</v>
      </c>
      <c r="J69" s="11" t="str">
        <f t="shared" si="13"/>
        <v>OK</v>
      </c>
      <c r="K69" s="11" t="str">
        <f t="shared" si="14"/>
        <v>OK</v>
      </c>
      <c r="R69" t="str">
        <f t="shared" si="9"/>
        <v>Keep</v>
      </c>
    </row>
    <row r="70" spans="1:18" ht="15">
      <c r="A70" s="23" t="s">
        <v>78</v>
      </c>
      <c r="B70" s="24" t="s">
        <v>7</v>
      </c>
      <c r="C70" s="24" t="s">
        <v>64</v>
      </c>
      <c r="D70" s="7">
        <v>235841</v>
      </c>
      <c r="E70" s="24" t="s">
        <v>16</v>
      </c>
      <c r="F70" s="11" t="str">
        <f t="shared" si="10"/>
        <v>OK</v>
      </c>
      <c r="G70" s="11" t="str">
        <f>IF(COUNTIFS($A:$A,A70,$E:E,E70)&gt;1,"NOK","OK")</f>
        <v>OK</v>
      </c>
      <c r="H70" s="11" t="str">
        <f t="shared" si="11"/>
        <v>OK</v>
      </c>
      <c r="I70" s="11" t="str">
        <f t="shared" si="12"/>
        <v>OK</v>
      </c>
      <c r="J70" s="11" t="str">
        <f t="shared" si="13"/>
        <v>OK</v>
      </c>
      <c r="K70" s="11" t="str">
        <f t="shared" si="14"/>
        <v>OK</v>
      </c>
      <c r="R70" t="str">
        <f t="shared" si="9"/>
        <v>Keep</v>
      </c>
    </row>
    <row r="71" spans="1:18" ht="15">
      <c r="A71" s="23" t="s">
        <v>79</v>
      </c>
      <c r="B71" s="24" t="s">
        <v>7</v>
      </c>
      <c r="C71" s="24" t="s">
        <v>64</v>
      </c>
      <c r="D71" s="7">
        <v>11014</v>
      </c>
      <c r="E71" s="24" t="s">
        <v>12</v>
      </c>
      <c r="F71" s="11" t="str">
        <f t="shared" si="10"/>
        <v>OK</v>
      </c>
      <c r="G71" s="11" t="str">
        <f>IF(COUNTIFS($A:$A,A71,$E:E,E71)&gt;1,"NOK","OK")</f>
        <v>OK</v>
      </c>
      <c r="H71" s="11" t="str">
        <f t="shared" si="11"/>
        <v>OK</v>
      </c>
      <c r="I71" s="11" t="str">
        <f t="shared" si="12"/>
        <v>OK</v>
      </c>
      <c r="J71" s="11" t="str">
        <f t="shared" si="13"/>
        <v>OK</v>
      </c>
      <c r="K71" s="11" t="str">
        <f t="shared" si="14"/>
        <v>OK</v>
      </c>
      <c r="R71" t="str">
        <f t="shared" si="9"/>
        <v>Keep</v>
      </c>
    </row>
    <row r="72" spans="1:18" ht="15">
      <c r="A72" s="23" t="s">
        <v>80</v>
      </c>
      <c r="B72" s="24" t="s">
        <v>7</v>
      </c>
      <c r="C72" s="24" t="s">
        <v>64</v>
      </c>
      <c r="D72" s="7">
        <v>182587</v>
      </c>
      <c r="E72" s="24" t="s">
        <v>9</v>
      </c>
      <c r="F72" s="11" t="str">
        <f t="shared" si="10"/>
        <v>OK</v>
      </c>
      <c r="G72" s="11" t="str">
        <f>IF(COUNTIFS($A:$A,A72,$E:E,E72)&gt;1,"NOK","OK")</f>
        <v>OK</v>
      </c>
      <c r="H72" s="11" t="str">
        <f t="shared" si="11"/>
        <v>OK</v>
      </c>
      <c r="I72" s="11" t="str">
        <f t="shared" si="12"/>
        <v>OK</v>
      </c>
      <c r="J72" s="11" t="str">
        <f t="shared" si="13"/>
        <v>OK</v>
      </c>
      <c r="K72" s="11" t="str">
        <f t="shared" si="14"/>
        <v>OK</v>
      </c>
      <c r="R72" t="str">
        <f t="shared" si="9"/>
        <v>Keep</v>
      </c>
    </row>
    <row r="73" spans="1:18" ht="15">
      <c r="A73" s="23" t="s">
        <v>81</v>
      </c>
      <c r="B73" s="24" t="s">
        <v>7</v>
      </c>
      <c r="C73" s="24" t="s">
        <v>64</v>
      </c>
      <c r="D73" s="7">
        <v>288368</v>
      </c>
      <c r="E73" s="24" t="s">
        <v>16</v>
      </c>
      <c r="F73" s="11" t="str">
        <f t="shared" si="10"/>
        <v>OK</v>
      </c>
      <c r="G73" s="11" t="str">
        <f>IF(COUNTIFS($A:$A,A73,$E:E,E73)&gt;1,"NOK","OK")</f>
        <v>OK</v>
      </c>
      <c r="H73" s="11" t="str">
        <f t="shared" si="11"/>
        <v>OK</v>
      </c>
      <c r="I73" s="11" t="str">
        <f t="shared" si="12"/>
        <v>OK</v>
      </c>
      <c r="J73" s="11" t="str">
        <f t="shared" si="13"/>
        <v>OK</v>
      </c>
      <c r="K73" s="11" t="str">
        <f t="shared" si="14"/>
        <v>OK</v>
      </c>
      <c r="R73" t="str">
        <f t="shared" si="9"/>
        <v>Keep</v>
      </c>
    </row>
    <row r="74" spans="1:18" ht="15">
      <c r="A74" s="23" t="s">
        <v>82</v>
      </c>
      <c r="B74" s="24" t="s">
        <v>25</v>
      </c>
      <c r="C74" s="24" t="s">
        <v>64</v>
      </c>
      <c r="D74" s="7">
        <v>30467</v>
      </c>
      <c r="E74" s="24" t="s">
        <v>9</v>
      </c>
      <c r="F74" s="11" t="str">
        <f t="shared" si="10"/>
        <v>OK</v>
      </c>
      <c r="G74" s="11" t="str">
        <f>IF(COUNTIFS($A:$A,A74,$E:E,E74)&gt;1,"NOK","OK")</f>
        <v>OK</v>
      </c>
      <c r="H74" s="11" t="str">
        <f t="shared" si="11"/>
        <v>OK</v>
      </c>
      <c r="I74" s="11" t="str">
        <f t="shared" si="12"/>
        <v>OK</v>
      </c>
      <c r="J74" s="11" t="str">
        <f t="shared" si="13"/>
        <v>OK</v>
      </c>
      <c r="K74" s="11" t="str">
        <f t="shared" si="14"/>
        <v>OK</v>
      </c>
      <c r="R74" t="str">
        <f t="shared" si="9"/>
        <v>Keep</v>
      </c>
    </row>
    <row r="75" spans="1:18" ht="15">
      <c r="A75" s="23" t="s">
        <v>83</v>
      </c>
      <c r="B75" s="24" t="s">
        <v>11</v>
      </c>
      <c r="C75" s="24" t="s">
        <v>84</v>
      </c>
      <c r="D75" s="7">
        <v>68130</v>
      </c>
      <c r="E75" s="24" t="s">
        <v>9</v>
      </c>
      <c r="F75" s="11" t="str">
        <f t="shared" si="10"/>
        <v>OK</v>
      </c>
      <c r="G75" s="11" t="str">
        <f>IF(COUNTIFS($A:$A,A75,$E:E,E75)&gt;1,"NOK","OK")</f>
        <v>OK</v>
      </c>
      <c r="H75" s="11" t="str">
        <f t="shared" si="11"/>
        <v>OK</v>
      </c>
      <c r="I75" s="11" t="str">
        <f t="shared" si="12"/>
        <v>OK</v>
      </c>
      <c r="J75" s="11" t="str">
        <f t="shared" si="13"/>
        <v>OK</v>
      </c>
      <c r="K75" s="11" t="str">
        <f t="shared" si="14"/>
        <v>OK</v>
      </c>
      <c r="R75" t="str">
        <f t="shared" si="9"/>
        <v>Keep</v>
      </c>
    </row>
    <row r="76" spans="1:18" ht="15">
      <c r="A76" s="23" t="s">
        <v>85</v>
      </c>
      <c r="B76" s="24" t="s">
        <v>11</v>
      </c>
      <c r="C76" s="24" t="s">
        <v>84</v>
      </c>
      <c r="D76" s="7">
        <v>224391</v>
      </c>
      <c r="E76" s="24" t="s">
        <v>12</v>
      </c>
      <c r="F76" s="11" t="str">
        <f t="shared" si="10"/>
        <v>OK</v>
      </c>
      <c r="G76" s="11" t="str">
        <f>IF(COUNTIFS($A:$A,A76,$E:E,E76)&gt;1,"NOK","OK")</f>
        <v>OK</v>
      </c>
      <c r="H76" s="11" t="str">
        <f t="shared" si="11"/>
        <v>OK</v>
      </c>
      <c r="I76" s="11" t="str">
        <f t="shared" si="12"/>
        <v>OK</v>
      </c>
      <c r="J76" s="11" t="str">
        <f t="shared" si="13"/>
        <v>OK</v>
      </c>
      <c r="K76" s="11" t="str">
        <f t="shared" si="14"/>
        <v>OK</v>
      </c>
      <c r="R76" t="str">
        <f t="shared" si="9"/>
        <v>Keep</v>
      </c>
    </row>
    <row r="77" spans="1:18" ht="15">
      <c r="A77" s="23" t="s">
        <v>86</v>
      </c>
      <c r="B77" s="24" t="s">
        <v>25</v>
      </c>
      <c r="C77" s="24" t="s">
        <v>84</v>
      </c>
      <c r="D77" s="7">
        <v>272264</v>
      </c>
      <c r="E77" s="24" t="s">
        <v>12</v>
      </c>
      <c r="F77" s="11" t="str">
        <f t="shared" si="10"/>
        <v>OK</v>
      </c>
      <c r="G77" s="11" t="str">
        <f>IF(COUNTIFS($A:$A,A77,$E:E,E77)&gt;1,"NOK","OK")</f>
        <v>OK</v>
      </c>
      <c r="H77" s="11" t="str">
        <f t="shared" si="11"/>
        <v>OK</v>
      </c>
      <c r="I77" s="11" t="str">
        <f t="shared" si="12"/>
        <v>OK</v>
      </c>
      <c r="J77" s="11" t="str">
        <f t="shared" si="13"/>
        <v>OK</v>
      </c>
      <c r="K77" s="11" t="str">
        <f t="shared" si="14"/>
        <v>OK</v>
      </c>
      <c r="R77" t="str">
        <f t="shared" si="9"/>
        <v>Keep</v>
      </c>
    </row>
    <row r="78" spans="1:18" ht="15">
      <c r="A78" s="23" t="s">
        <v>87</v>
      </c>
      <c r="B78" s="24" t="s">
        <v>11</v>
      </c>
      <c r="C78" s="24" t="s">
        <v>84</v>
      </c>
      <c r="D78" s="7">
        <v>279759</v>
      </c>
      <c r="E78" s="24" t="s">
        <v>12</v>
      </c>
      <c r="F78" s="11" t="str">
        <f t="shared" si="10"/>
        <v>OK</v>
      </c>
      <c r="G78" s="11" t="str">
        <f>IF(COUNTIFS($A:$A,A78,$E:E,E78)&gt;1,"NOK","OK")</f>
        <v>OK</v>
      </c>
      <c r="H78" s="11" t="str">
        <f t="shared" si="11"/>
        <v>OK</v>
      </c>
      <c r="I78" s="11" t="str">
        <f t="shared" si="12"/>
        <v>OK</v>
      </c>
      <c r="J78" s="11" t="str">
        <f t="shared" si="13"/>
        <v>OK</v>
      </c>
      <c r="K78" s="11" t="str">
        <f t="shared" si="14"/>
        <v>OK</v>
      </c>
      <c r="R78" t="str">
        <f t="shared" si="9"/>
        <v>Keep</v>
      </c>
    </row>
    <row r="79" spans="1:18" ht="15">
      <c r="A79" s="23" t="s">
        <v>88</v>
      </c>
      <c r="B79" s="24" t="s">
        <v>7</v>
      </c>
      <c r="C79" s="24" t="s">
        <v>84</v>
      </c>
      <c r="D79" s="7">
        <v>208069</v>
      </c>
      <c r="E79" s="24" t="s">
        <v>12</v>
      </c>
      <c r="F79" s="11" t="str">
        <f t="shared" si="10"/>
        <v>OK</v>
      </c>
      <c r="G79" s="11" t="str">
        <f>IF(COUNTIFS($A:$A,A79,$E:E,E79)&gt;1,"NOK","OK")</f>
        <v>OK</v>
      </c>
      <c r="H79" s="11" t="str">
        <f t="shared" si="11"/>
        <v>OK</v>
      </c>
      <c r="I79" s="11" t="str">
        <f t="shared" si="12"/>
        <v>OK</v>
      </c>
      <c r="J79" s="11" t="str">
        <f t="shared" si="13"/>
        <v>OK</v>
      </c>
      <c r="K79" s="11" t="str">
        <f t="shared" si="14"/>
        <v>OK</v>
      </c>
      <c r="R79" t="str">
        <f t="shared" si="9"/>
        <v>Keep</v>
      </c>
    </row>
    <row r="80" spans="1:18" ht="15">
      <c r="A80" s="23" t="s">
        <v>89</v>
      </c>
      <c r="B80" s="24" t="s">
        <v>7</v>
      </c>
      <c r="C80" s="24" t="s">
        <v>84</v>
      </c>
      <c r="D80" s="7">
        <v>169534</v>
      </c>
      <c r="E80" s="24" t="s">
        <v>12</v>
      </c>
      <c r="F80" s="11" t="str">
        <f t="shared" si="10"/>
        <v>OK</v>
      </c>
      <c r="G80" s="11" t="str">
        <f>IF(COUNTIFS($A:$A,A80,$E:E,E80)&gt;1,"NOK","OK")</f>
        <v>OK</v>
      </c>
      <c r="H80" s="11" t="str">
        <f t="shared" si="11"/>
        <v>OK</v>
      </c>
      <c r="I80" s="11" t="str">
        <f t="shared" si="12"/>
        <v>OK</v>
      </c>
      <c r="J80" s="11" t="str">
        <f t="shared" si="13"/>
        <v>OK</v>
      </c>
      <c r="K80" s="11" t="str">
        <f t="shared" si="14"/>
        <v>OK</v>
      </c>
      <c r="R80" t="str">
        <f t="shared" si="9"/>
        <v>Keep</v>
      </c>
    </row>
    <row r="81" spans="1:18" ht="15">
      <c r="A81" s="23" t="s">
        <v>90</v>
      </c>
      <c r="B81" s="24" t="s">
        <v>25</v>
      </c>
      <c r="C81" s="24" t="s">
        <v>84</v>
      </c>
      <c r="D81" s="7">
        <v>4581</v>
      </c>
      <c r="E81" s="24" t="s">
        <v>12</v>
      </c>
      <c r="F81" s="11" t="str">
        <f t="shared" si="10"/>
        <v>OK</v>
      </c>
      <c r="G81" s="11" t="str">
        <f>IF(COUNTIFS($A:$A,A81,$E:E,E81)&gt;1,"NOK","OK")</f>
        <v>OK</v>
      </c>
      <c r="H81" s="11" t="str">
        <f t="shared" si="11"/>
        <v>OK</v>
      </c>
      <c r="I81" s="11" t="str">
        <f t="shared" si="12"/>
        <v>OK</v>
      </c>
      <c r="J81" s="11" t="str">
        <f t="shared" si="13"/>
        <v>OK</v>
      </c>
      <c r="K81" s="11" t="str">
        <f t="shared" si="14"/>
        <v>OK</v>
      </c>
      <c r="R81" t="str">
        <f t="shared" si="9"/>
        <v>Keep</v>
      </c>
    </row>
    <row r="82" spans="1:18" ht="15">
      <c r="A82" s="23" t="s">
        <v>91</v>
      </c>
      <c r="B82" s="24" t="s">
        <v>7</v>
      </c>
      <c r="C82" s="24" t="s">
        <v>84</v>
      </c>
      <c r="D82" s="7">
        <v>204133000</v>
      </c>
      <c r="E82" s="24" t="s">
        <v>16</v>
      </c>
      <c r="F82" s="11" t="str">
        <f t="shared" si="10"/>
        <v>OK</v>
      </c>
      <c r="G82" s="11" t="str">
        <f>IF(COUNTIFS($A:$A,A82,$E:E,E82)&gt;1,"NOK","OK")</f>
        <v>OK</v>
      </c>
      <c r="H82" s="11" t="str">
        <f t="shared" si="11"/>
        <v>OK</v>
      </c>
      <c r="I82" s="11" t="str">
        <f t="shared" si="12"/>
        <v>OK</v>
      </c>
      <c r="J82" s="11" t="str">
        <f t="shared" si="13"/>
        <v>NOK</v>
      </c>
      <c r="K82" s="11" t="str">
        <f t="shared" si="14"/>
        <v>OK</v>
      </c>
      <c r="R82" t="str">
        <f t="shared" si="9"/>
        <v>Hide</v>
      </c>
    </row>
    <row r="83" spans="1:18" ht="15">
      <c r="A83" s="23" t="s">
        <v>92</v>
      </c>
      <c r="B83" s="24" t="s">
        <v>25</v>
      </c>
      <c r="C83" s="24" t="s">
        <v>84</v>
      </c>
      <c r="D83" s="7">
        <v>92112</v>
      </c>
      <c r="E83" s="24" t="s">
        <v>16</v>
      </c>
      <c r="F83" s="11" t="str">
        <f t="shared" si="10"/>
        <v>OK</v>
      </c>
      <c r="G83" s="11" t="str">
        <f>IF(COUNTIFS($A:$A,A83,$E:E,E83)&gt;1,"NOK","OK")</f>
        <v>OK</v>
      </c>
      <c r="H83" s="11" t="str">
        <f t="shared" si="11"/>
        <v>OK</v>
      </c>
      <c r="I83" s="11" t="str">
        <f t="shared" si="12"/>
        <v>OK</v>
      </c>
      <c r="J83" s="11" t="str">
        <f t="shared" si="13"/>
        <v>OK</v>
      </c>
      <c r="K83" s="11" t="str">
        <f t="shared" si="14"/>
        <v>OK</v>
      </c>
      <c r="R83" t="str">
        <f t="shared" ref="R83" si="15">IF(COUNTIF(F82:L82, "NOK") &gt; 0, "Hide", "Keep")</f>
        <v>Hide</v>
      </c>
    </row>
    <row r="84" spans="1:18" ht="15">
      <c r="A84" s="23" t="s">
        <v>93</v>
      </c>
      <c r="B84" s="24" t="s">
        <v>7</v>
      </c>
      <c r="C84" s="24" t="s">
        <v>84</v>
      </c>
      <c r="D84" s="7">
        <v>25711</v>
      </c>
      <c r="E84" s="24" t="s">
        <v>12</v>
      </c>
      <c r="F84" s="11" t="str">
        <f t="shared" si="10"/>
        <v>OK</v>
      </c>
      <c r="G84" s="11" t="str">
        <f>IF(COUNTIFS($A:$A,A84,$E:E,E84)&gt;1,"NOK","OK")</f>
        <v>OK</v>
      </c>
      <c r="H84" s="11" t="str">
        <f t="shared" si="11"/>
        <v>OK</v>
      </c>
      <c r="I84" s="11" t="str">
        <f t="shared" si="12"/>
        <v>OK</v>
      </c>
      <c r="J84" s="11" t="str">
        <f t="shared" si="13"/>
        <v>OK</v>
      </c>
      <c r="K84" s="11" t="str">
        <f t="shared" si="14"/>
        <v>OK</v>
      </c>
      <c r="R84" t="str">
        <f t="shared" ref="R84:R147" si="16">IF(COUNTIF(F84:K84, "NOK") &gt; 0, "Hide", "Keep")</f>
        <v>Keep</v>
      </c>
    </row>
    <row r="85" spans="1:18" ht="15">
      <c r="A85" s="23" t="s">
        <v>94</v>
      </c>
      <c r="B85" s="24" t="s">
        <v>11</v>
      </c>
      <c r="C85" s="24" t="s">
        <v>84</v>
      </c>
      <c r="D85" s="7">
        <v>183877</v>
      </c>
      <c r="E85" s="24" t="s">
        <v>16</v>
      </c>
      <c r="F85" s="11" t="str">
        <f t="shared" si="10"/>
        <v>OK</v>
      </c>
      <c r="G85" s="11" t="str">
        <f>IF(COUNTIFS($A:$A,A85,$E:E,E85)&gt;1,"NOK","OK")</f>
        <v>OK</v>
      </c>
      <c r="H85" s="11" t="str">
        <f t="shared" si="11"/>
        <v>OK</v>
      </c>
      <c r="I85" s="11" t="str">
        <f t="shared" si="12"/>
        <v>OK</v>
      </c>
      <c r="J85" s="11" t="str">
        <f t="shared" si="13"/>
        <v>OK</v>
      </c>
      <c r="K85" s="11" t="str">
        <f t="shared" si="14"/>
        <v>OK</v>
      </c>
      <c r="R85" t="str">
        <f t="shared" si="16"/>
        <v>Keep</v>
      </c>
    </row>
    <row r="86" spans="1:18" ht="15">
      <c r="A86" s="23" t="s">
        <v>95</v>
      </c>
      <c r="B86" s="24" t="s">
        <v>11</v>
      </c>
      <c r="C86" s="24" t="s">
        <v>84</v>
      </c>
      <c r="D86" s="7">
        <v>24416</v>
      </c>
      <c r="E86" s="24" t="s">
        <v>16</v>
      </c>
      <c r="F86" s="11" t="str">
        <f t="shared" si="10"/>
        <v>OK</v>
      </c>
      <c r="G86" s="11" t="str">
        <f>IF(COUNTIFS($A:$A,A86,$E:E,E86)&gt;1,"NOK","OK")</f>
        <v>OK</v>
      </c>
      <c r="H86" s="11" t="str">
        <f t="shared" si="11"/>
        <v>OK</v>
      </c>
      <c r="I86" s="11" t="str">
        <f t="shared" si="12"/>
        <v>OK</v>
      </c>
      <c r="J86" s="11" t="str">
        <f t="shared" si="13"/>
        <v>OK</v>
      </c>
      <c r="K86" s="11" t="str">
        <f t="shared" si="14"/>
        <v>OK</v>
      </c>
      <c r="R86" t="str">
        <f t="shared" si="16"/>
        <v>Keep</v>
      </c>
    </row>
    <row r="87" spans="1:18" ht="15">
      <c r="A87" s="23" t="s">
        <v>96</v>
      </c>
      <c r="B87" s="24" t="s">
        <v>25</v>
      </c>
      <c r="C87" s="24" t="s">
        <v>84</v>
      </c>
      <c r="D87" s="7">
        <v>103719</v>
      </c>
      <c r="E87" s="24" t="s">
        <v>9</v>
      </c>
      <c r="F87" s="11" t="str">
        <f t="shared" si="10"/>
        <v>OK</v>
      </c>
      <c r="G87" s="11" t="str">
        <f>IF(COUNTIFS($A:$A,A87,$E:E,E87)&gt;1,"NOK","OK")</f>
        <v>OK</v>
      </c>
      <c r="H87" s="11" t="str">
        <f t="shared" si="11"/>
        <v>OK</v>
      </c>
      <c r="I87" s="11" t="str">
        <f t="shared" si="12"/>
        <v>OK</v>
      </c>
      <c r="J87" s="11" t="str">
        <f t="shared" si="13"/>
        <v>OK</v>
      </c>
      <c r="K87" s="11" t="str">
        <f t="shared" si="14"/>
        <v>OK</v>
      </c>
      <c r="R87" t="str">
        <f t="shared" si="16"/>
        <v>Keep</v>
      </c>
    </row>
    <row r="88" spans="1:18" ht="15">
      <c r="A88" s="23" t="s">
        <v>97</v>
      </c>
      <c r="B88" s="24" t="s">
        <v>7</v>
      </c>
      <c r="C88" s="24" t="s">
        <v>84</v>
      </c>
      <c r="D88" s="7">
        <v>121262</v>
      </c>
      <c r="E88" s="24" t="s">
        <v>16</v>
      </c>
      <c r="F88" s="11" t="str">
        <f t="shared" si="10"/>
        <v>OK</v>
      </c>
      <c r="G88" s="11" t="str">
        <f>IF(COUNTIFS($A:$A,A88,$E:E,E88)&gt;1,"NOK","OK")</f>
        <v>OK</v>
      </c>
      <c r="H88" s="11" t="str">
        <f t="shared" si="11"/>
        <v>OK</v>
      </c>
      <c r="I88" s="11" t="str">
        <f t="shared" si="12"/>
        <v>OK</v>
      </c>
      <c r="J88" s="11" t="str">
        <f t="shared" si="13"/>
        <v>OK</v>
      </c>
      <c r="K88" s="11" t="str">
        <f t="shared" si="14"/>
        <v>OK</v>
      </c>
      <c r="R88" t="str">
        <f t="shared" si="16"/>
        <v>Keep</v>
      </c>
    </row>
    <row r="89" spans="1:18" ht="15">
      <c r="A89" s="23" t="s">
        <v>98</v>
      </c>
      <c r="B89" s="24" t="s">
        <v>11</v>
      </c>
      <c r="C89" s="24" t="s">
        <v>84</v>
      </c>
      <c r="D89" s="7">
        <v>85554</v>
      </c>
      <c r="E89" s="24" t="s">
        <v>9</v>
      </c>
      <c r="F89" s="11" t="str">
        <f t="shared" si="10"/>
        <v>OK</v>
      </c>
      <c r="G89" s="11" t="str">
        <f>IF(COUNTIFS($A:$A,A89,$E:E,E89)&gt;1,"NOK","OK")</f>
        <v>OK</v>
      </c>
      <c r="H89" s="11" t="str">
        <f t="shared" si="11"/>
        <v>OK</v>
      </c>
      <c r="I89" s="11" t="str">
        <f t="shared" si="12"/>
        <v>OK</v>
      </c>
      <c r="J89" s="11" t="str">
        <f t="shared" si="13"/>
        <v>OK</v>
      </c>
      <c r="K89" s="11" t="str">
        <f t="shared" si="14"/>
        <v>OK</v>
      </c>
      <c r="R89" t="str">
        <f t="shared" si="16"/>
        <v>Keep</v>
      </c>
    </row>
    <row r="90" spans="1:18" ht="15">
      <c r="A90" s="23" t="s">
        <v>99</v>
      </c>
      <c r="B90" s="24" t="s">
        <v>7</v>
      </c>
      <c r="C90" s="24" t="s">
        <v>84</v>
      </c>
      <c r="D90" s="7">
        <v>144042</v>
      </c>
      <c r="E90" s="24" t="s">
        <v>16</v>
      </c>
      <c r="F90" s="11" t="str">
        <f t="shared" si="10"/>
        <v>OK</v>
      </c>
      <c r="G90" s="11" t="str">
        <f>IF(COUNTIFS($A:$A,A90,$E:E,E90)&gt;1,"NOK","OK")</f>
        <v>OK</v>
      </c>
      <c r="H90" s="11" t="str">
        <f t="shared" si="11"/>
        <v>OK</v>
      </c>
      <c r="I90" s="11" t="str">
        <f t="shared" si="12"/>
        <v>OK</v>
      </c>
      <c r="J90" s="11" t="str">
        <f t="shared" si="13"/>
        <v>OK</v>
      </c>
      <c r="K90" s="11" t="str">
        <f t="shared" si="14"/>
        <v>OK</v>
      </c>
      <c r="R90" t="str">
        <f t="shared" si="16"/>
        <v>Keep</v>
      </c>
    </row>
    <row r="91" spans="1:18" ht="15">
      <c r="A91" s="23" t="s">
        <v>100</v>
      </c>
      <c r="B91" s="24" t="s">
        <v>7</v>
      </c>
      <c r="C91" s="24" t="s">
        <v>84</v>
      </c>
      <c r="D91" s="7">
        <v>31781</v>
      </c>
      <c r="E91" s="24" t="s">
        <v>9</v>
      </c>
      <c r="F91" s="11" t="str">
        <f t="shared" si="10"/>
        <v>OK</v>
      </c>
      <c r="G91" s="11" t="str">
        <f>IF(COUNTIFS($A:$A,A91,$E:E,E91)&gt;1,"NOK","OK")</f>
        <v>OK</v>
      </c>
      <c r="H91" s="11" t="str">
        <f t="shared" si="11"/>
        <v>OK</v>
      </c>
      <c r="I91" s="11" t="str">
        <f t="shared" si="12"/>
        <v>OK</v>
      </c>
      <c r="J91" s="11" t="str">
        <f t="shared" si="13"/>
        <v>OK</v>
      </c>
      <c r="K91" s="11" t="str">
        <f t="shared" si="14"/>
        <v>OK</v>
      </c>
      <c r="R91" t="str">
        <f t="shared" si="16"/>
        <v>Keep</v>
      </c>
    </row>
    <row r="92" spans="1:18" ht="15">
      <c r="A92" s="23" t="s">
        <v>101</v>
      </c>
      <c r="B92" s="24" t="s">
        <v>7</v>
      </c>
      <c r="C92" s="24" t="s">
        <v>84</v>
      </c>
      <c r="D92" s="7">
        <v>166328</v>
      </c>
      <c r="E92" s="24" t="s">
        <v>9</v>
      </c>
      <c r="F92" s="11" t="str">
        <f t="shared" si="10"/>
        <v>OK</v>
      </c>
      <c r="G92" s="11" t="str">
        <f>IF(COUNTIFS($A:$A,A92,$E:E,E92)&gt;1,"NOK","OK")</f>
        <v>OK</v>
      </c>
      <c r="H92" s="11" t="str">
        <f t="shared" si="11"/>
        <v>OK</v>
      </c>
      <c r="I92" s="11" t="str">
        <f t="shared" si="12"/>
        <v>OK</v>
      </c>
      <c r="J92" s="11" t="str">
        <f t="shared" si="13"/>
        <v>OK</v>
      </c>
      <c r="K92" s="11" t="str">
        <f t="shared" si="14"/>
        <v>OK</v>
      </c>
      <c r="R92" t="str">
        <f t="shared" si="16"/>
        <v>Keep</v>
      </c>
    </row>
    <row r="93" spans="1:18" ht="15">
      <c r="A93" s="23" t="s">
        <v>102</v>
      </c>
      <c r="B93" s="24" t="s">
        <v>7</v>
      </c>
      <c r="C93" s="24" t="s">
        <v>84</v>
      </c>
      <c r="D93" s="7">
        <v>103994</v>
      </c>
      <c r="E93" s="24" t="s">
        <v>12</v>
      </c>
      <c r="F93" s="11" t="str">
        <f t="shared" si="10"/>
        <v>OK</v>
      </c>
      <c r="G93" s="11" t="str">
        <f>IF(COUNTIFS($A:$A,A93,$E:E,E93)&gt;1,"NOK","OK")</f>
        <v>OK</v>
      </c>
      <c r="H93" s="11" t="str">
        <f t="shared" si="11"/>
        <v>OK</v>
      </c>
      <c r="I93" s="11" t="str">
        <f t="shared" si="12"/>
        <v>OK</v>
      </c>
      <c r="J93" s="11" t="str">
        <f t="shared" si="13"/>
        <v>OK</v>
      </c>
      <c r="K93" s="11" t="str">
        <f t="shared" si="14"/>
        <v>OK</v>
      </c>
      <c r="R93" t="str">
        <f t="shared" si="16"/>
        <v>Keep</v>
      </c>
    </row>
    <row r="94" spans="1:18" ht="15">
      <c r="A94" s="23" t="s">
        <v>103</v>
      </c>
      <c r="B94" s="24" t="s">
        <v>7</v>
      </c>
      <c r="C94" s="24" t="s">
        <v>84</v>
      </c>
      <c r="D94" s="7">
        <v>100493</v>
      </c>
      <c r="E94" s="24" t="s">
        <v>9</v>
      </c>
      <c r="F94" s="11" t="str">
        <f t="shared" si="10"/>
        <v>OK</v>
      </c>
      <c r="G94" s="11" t="str">
        <f>IF(COUNTIFS($A:$A,A94,$E:E,E94)&gt;1,"NOK","OK")</f>
        <v>OK</v>
      </c>
      <c r="H94" s="11" t="str">
        <f t="shared" si="11"/>
        <v>OK</v>
      </c>
      <c r="I94" s="11" t="str">
        <f t="shared" si="12"/>
        <v>OK</v>
      </c>
      <c r="J94" s="11" t="str">
        <f t="shared" si="13"/>
        <v>OK</v>
      </c>
      <c r="K94" s="11" t="str">
        <f t="shared" si="14"/>
        <v>OK</v>
      </c>
      <c r="R94" t="str">
        <f t="shared" si="16"/>
        <v>Keep</v>
      </c>
    </row>
    <row r="95" spans="1:18" ht="15">
      <c r="A95" s="23" t="s">
        <v>104</v>
      </c>
      <c r="B95" s="24" t="s">
        <v>7</v>
      </c>
      <c r="C95" s="24" t="s">
        <v>84</v>
      </c>
      <c r="D95" s="7">
        <v>210249</v>
      </c>
      <c r="E95" s="24" t="s">
        <v>9</v>
      </c>
      <c r="F95" s="11" t="str">
        <f t="shared" si="10"/>
        <v>OK</v>
      </c>
      <c r="G95" s="11" t="str">
        <f>IF(COUNTIFS($A:$A,A95,$E:E,E95)&gt;1,"NOK","OK")</f>
        <v>OK</v>
      </c>
      <c r="H95" s="11" t="str">
        <f t="shared" si="11"/>
        <v>OK</v>
      </c>
      <c r="I95" s="11" t="str">
        <f t="shared" si="12"/>
        <v>OK</v>
      </c>
      <c r="J95" s="11" t="str">
        <f t="shared" si="13"/>
        <v>OK</v>
      </c>
      <c r="K95" s="11" t="str">
        <f t="shared" si="14"/>
        <v>OK</v>
      </c>
      <c r="R95" t="str">
        <f t="shared" si="16"/>
        <v>Keep</v>
      </c>
    </row>
    <row r="96" spans="1:18" ht="15">
      <c r="A96" s="23" t="s">
        <v>105</v>
      </c>
      <c r="B96" s="24" t="s">
        <v>11</v>
      </c>
      <c r="C96" s="24" t="s">
        <v>84</v>
      </c>
      <c r="D96" s="7">
        <v>22977</v>
      </c>
      <c r="E96" s="24" t="s">
        <v>12</v>
      </c>
      <c r="F96" s="11" t="str">
        <f t="shared" si="10"/>
        <v>OK</v>
      </c>
      <c r="G96" s="11" t="str">
        <f>IF(COUNTIFS($A:$A,A96,$E:E,E96)&gt;1,"NOK","OK")</f>
        <v>OK</v>
      </c>
      <c r="H96" s="11" t="str">
        <f t="shared" si="11"/>
        <v>OK</v>
      </c>
      <c r="I96" s="11" t="str">
        <f t="shared" si="12"/>
        <v>OK</v>
      </c>
      <c r="J96" s="11" t="str">
        <f t="shared" si="13"/>
        <v>OK</v>
      </c>
      <c r="K96" s="11" t="str">
        <f t="shared" si="14"/>
        <v>OK</v>
      </c>
      <c r="R96" t="str">
        <f t="shared" si="16"/>
        <v>Keep</v>
      </c>
    </row>
    <row r="97" spans="1:18" ht="15">
      <c r="A97" s="23" t="s">
        <v>106</v>
      </c>
      <c r="B97" s="24" t="s">
        <v>7</v>
      </c>
      <c r="C97" s="24" t="s">
        <v>84</v>
      </c>
      <c r="D97" s="7">
        <v>140187</v>
      </c>
      <c r="E97" s="24" t="s">
        <v>12</v>
      </c>
      <c r="F97" s="11" t="str">
        <f t="shared" si="10"/>
        <v>OK</v>
      </c>
      <c r="G97" s="11" t="str">
        <f>IF(COUNTIFS($A:$A,A97,$E:E,E97)&gt;1,"NOK","OK")</f>
        <v>OK</v>
      </c>
      <c r="H97" s="11" t="str">
        <f t="shared" si="11"/>
        <v>OK</v>
      </c>
      <c r="I97" s="11" t="str">
        <f t="shared" si="12"/>
        <v>OK</v>
      </c>
      <c r="J97" s="11" t="str">
        <f t="shared" si="13"/>
        <v>OK</v>
      </c>
      <c r="K97" s="11" t="str">
        <f t="shared" si="14"/>
        <v>OK</v>
      </c>
      <c r="R97" t="str">
        <f t="shared" si="16"/>
        <v>Keep</v>
      </c>
    </row>
    <row r="98" spans="1:18" ht="15">
      <c r="A98" s="23" t="s">
        <v>107</v>
      </c>
      <c r="B98" s="24" t="s">
        <v>7</v>
      </c>
      <c r="C98" s="24" t="s">
        <v>84</v>
      </c>
      <c r="D98" s="7">
        <v>924</v>
      </c>
      <c r="E98" s="24" t="s">
        <v>12</v>
      </c>
      <c r="F98" s="11" t="str">
        <f t="shared" si="10"/>
        <v>OK</v>
      </c>
      <c r="G98" s="11" t="str">
        <f>IF(COUNTIFS($A:$A,A98,$E:E,E98)&gt;1,"NOK","OK")</f>
        <v>OK</v>
      </c>
      <c r="H98" s="11" t="str">
        <f t="shared" si="11"/>
        <v>OK</v>
      </c>
      <c r="I98" s="11" t="str">
        <f t="shared" si="12"/>
        <v>OK</v>
      </c>
      <c r="J98" s="11" t="str">
        <f t="shared" si="13"/>
        <v>OK</v>
      </c>
      <c r="K98" s="11" t="str">
        <f t="shared" si="14"/>
        <v>OK</v>
      </c>
      <c r="R98" t="str">
        <f t="shared" si="16"/>
        <v>Keep</v>
      </c>
    </row>
    <row r="99" spans="1:18" ht="15">
      <c r="A99" s="23" t="s">
        <v>108</v>
      </c>
      <c r="B99" s="24" t="s">
        <v>7</v>
      </c>
      <c r="C99" s="24" t="s">
        <v>84</v>
      </c>
      <c r="D99" s="7">
        <v>159755</v>
      </c>
      <c r="E99" s="24" t="s">
        <v>16</v>
      </c>
      <c r="F99" s="11" t="str">
        <f t="shared" si="10"/>
        <v>OK</v>
      </c>
      <c r="G99" s="11" t="str">
        <f>IF(COUNTIFS($A:$A,A99,$E:E,E99)&gt;1,"NOK","OK")</f>
        <v>OK</v>
      </c>
      <c r="H99" s="11" t="str">
        <f t="shared" si="11"/>
        <v>OK</v>
      </c>
      <c r="I99" s="11" t="str">
        <f t="shared" si="12"/>
        <v>OK</v>
      </c>
      <c r="J99" s="11" t="str">
        <f t="shared" si="13"/>
        <v>OK</v>
      </c>
      <c r="K99" s="11" t="str">
        <f t="shared" si="14"/>
        <v>OK</v>
      </c>
      <c r="R99" t="str">
        <f t="shared" si="16"/>
        <v>Keep</v>
      </c>
    </row>
    <row r="100" spans="1:18" ht="15">
      <c r="A100" s="23" t="s">
        <v>109</v>
      </c>
      <c r="B100" s="24" t="s">
        <v>7</v>
      </c>
      <c r="C100" s="24" t="s">
        <v>84</v>
      </c>
      <c r="D100" s="7">
        <v>44829</v>
      </c>
      <c r="E100" s="24" t="s">
        <v>16</v>
      </c>
      <c r="F100" s="11" t="str">
        <f t="shared" si="10"/>
        <v>OK</v>
      </c>
      <c r="G100" s="11" t="str">
        <f>IF(COUNTIFS($A:$A,A100,$E:E,E100)&gt;1,"NOK","OK")</f>
        <v>OK</v>
      </c>
      <c r="H100" s="11" t="str">
        <f t="shared" si="11"/>
        <v>OK</v>
      </c>
      <c r="I100" s="11" t="str">
        <f t="shared" si="12"/>
        <v>OK</v>
      </c>
      <c r="J100" s="11" t="str">
        <f t="shared" si="13"/>
        <v>OK</v>
      </c>
      <c r="K100" s="11" t="str">
        <f t="shared" si="14"/>
        <v>OK</v>
      </c>
      <c r="R100" t="str">
        <f t="shared" si="16"/>
        <v>Keep</v>
      </c>
    </row>
    <row r="101" spans="1:18" ht="15">
      <c r="A101" s="23" t="s">
        <v>110</v>
      </c>
      <c r="B101" s="24" t="s">
        <v>7</v>
      </c>
      <c r="C101" s="24" t="s">
        <v>84</v>
      </c>
      <c r="D101" s="7">
        <v>49237</v>
      </c>
      <c r="E101" s="24" t="s">
        <v>16</v>
      </c>
      <c r="F101" s="11" t="str">
        <f t="shared" si="10"/>
        <v>OK</v>
      </c>
      <c r="G101" s="11" t="str">
        <f>IF(COUNTIFS($A:$A,A101,$E:E,E101)&gt;1,"NOK","OK")</f>
        <v>OK</v>
      </c>
      <c r="H101" s="11" t="str">
        <f t="shared" si="11"/>
        <v>OK</v>
      </c>
      <c r="I101" s="11" t="str">
        <f t="shared" si="12"/>
        <v>OK</v>
      </c>
      <c r="J101" s="11" t="str">
        <f t="shared" si="13"/>
        <v>OK</v>
      </c>
      <c r="K101" s="11" t="str">
        <f t="shared" si="14"/>
        <v>OK</v>
      </c>
      <c r="R101" t="str">
        <f t="shared" si="16"/>
        <v>Keep</v>
      </c>
    </row>
    <row r="102" spans="1:18" ht="15">
      <c r="A102" s="23" t="s">
        <v>111</v>
      </c>
      <c r="B102" s="24" t="s">
        <v>7</v>
      </c>
      <c r="C102" s="24" t="s">
        <v>84</v>
      </c>
      <c r="D102" s="7">
        <v>291124</v>
      </c>
      <c r="E102" s="24" t="s">
        <v>16</v>
      </c>
      <c r="F102" s="11" t="str">
        <f t="shared" si="10"/>
        <v>OK</v>
      </c>
      <c r="G102" s="11" t="str">
        <f>IF(COUNTIFS($A:$A,A102,$E:E,E102)&gt;1,"NOK","OK")</f>
        <v>OK</v>
      </c>
      <c r="H102" s="11" t="str">
        <f t="shared" si="11"/>
        <v>OK</v>
      </c>
      <c r="I102" s="11" t="str">
        <f t="shared" si="12"/>
        <v>OK</v>
      </c>
      <c r="J102" s="11" t="str">
        <f t="shared" si="13"/>
        <v>OK</v>
      </c>
      <c r="K102" s="11" t="str">
        <f t="shared" si="14"/>
        <v>OK</v>
      </c>
      <c r="R102" t="str">
        <f t="shared" si="16"/>
        <v>Keep</v>
      </c>
    </row>
    <row r="103" spans="1:18" ht="15">
      <c r="A103" s="23" t="s">
        <v>112</v>
      </c>
      <c r="B103" s="24" t="s">
        <v>7</v>
      </c>
      <c r="C103" s="24" t="s">
        <v>84</v>
      </c>
      <c r="D103" s="7">
        <v>126051</v>
      </c>
      <c r="E103" s="24" t="s">
        <v>16</v>
      </c>
      <c r="F103" s="11" t="str">
        <f t="shared" si="10"/>
        <v>OK</v>
      </c>
      <c r="G103" s="11" t="str">
        <f>IF(COUNTIFS($A:$A,A103,$E:E,E103)&gt;1,"NOK","OK")</f>
        <v>OK</v>
      </c>
      <c r="H103" s="11" t="str">
        <f t="shared" si="11"/>
        <v>OK</v>
      </c>
      <c r="I103" s="11" t="str">
        <f t="shared" si="12"/>
        <v>OK</v>
      </c>
      <c r="J103" s="11" t="str">
        <f t="shared" si="13"/>
        <v>OK</v>
      </c>
      <c r="K103" s="11" t="str">
        <f t="shared" si="14"/>
        <v>OK</v>
      </c>
      <c r="R103" t="str">
        <f t="shared" si="16"/>
        <v>Keep</v>
      </c>
    </row>
    <row r="104" spans="1:18" ht="15">
      <c r="A104" s="23" t="s">
        <v>113</v>
      </c>
      <c r="B104" s="24" t="s">
        <v>7</v>
      </c>
      <c r="C104" s="24" t="s">
        <v>84</v>
      </c>
      <c r="D104" s="7">
        <v>254486</v>
      </c>
      <c r="E104" s="24" t="s">
        <v>9</v>
      </c>
      <c r="F104" s="11" t="str">
        <f t="shared" si="10"/>
        <v>OK</v>
      </c>
      <c r="G104" s="11" t="str">
        <f>IF(COUNTIFS($A:$A,A104,$E:E,E104)&gt;1,"NOK","OK")</f>
        <v>OK</v>
      </c>
      <c r="H104" s="11" t="str">
        <f t="shared" si="11"/>
        <v>OK</v>
      </c>
      <c r="I104" s="11" t="str">
        <f t="shared" si="12"/>
        <v>OK</v>
      </c>
      <c r="J104" s="11" t="str">
        <f t="shared" si="13"/>
        <v>OK</v>
      </c>
      <c r="K104" s="11" t="str">
        <f t="shared" si="14"/>
        <v>OK</v>
      </c>
      <c r="R104" t="str">
        <f t="shared" si="16"/>
        <v>Keep</v>
      </c>
    </row>
    <row r="105" spans="1:18" ht="15">
      <c r="A105" s="23" t="s">
        <v>114</v>
      </c>
      <c r="B105" s="24" t="s">
        <v>7</v>
      </c>
      <c r="C105" s="24" t="s">
        <v>84</v>
      </c>
      <c r="D105" s="7">
        <v>22134</v>
      </c>
      <c r="E105" s="24" t="s">
        <v>12</v>
      </c>
      <c r="F105" s="11" t="str">
        <f t="shared" si="10"/>
        <v>OK</v>
      </c>
      <c r="G105" s="11" t="str">
        <f>IF(COUNTIFS($A:$A,A105,$E:E,E105)&gt;1,"NOK","OK")</f>
        <v>OK</v>
      </c>
      <c r="H105" s="11" t="str">
        <f t="shared" si="11"/>
        <v>OK</v>
      </c>
      <c r="I105" s="11" t="str">
        <f t="shared" si="12"/>
        <v>OK</v>
      </c>
      <c r="J105" s="11" t="str">
        <f t="shared" si="13"/>
        <v>OK</v>
      </c>
      <c r="K105" s="11" t="str">
        <f t="shared" si="14"/>
        <v>OK</v>
      </c>
      <c r="R105" t="str">
        <f t="shared" si="16"/>
        <v>Keep</v>
      </c>
    </row>
    <row r="106" spans="1:18" ht="15">
      <c r="A106" s="23" t="s">
        <v>115</v>
      </c>
      <c r="B106" s="24" t="s">
        <v>7</v>
      </c>
      <c r="C106" s="24" t="s">
        <v>84</v>
      </c>
      <c r="D106" s="7">
        <v>63191</v>
      </c>
      <c r="E106" s="24" t="s">
        <v>9</v>
      </c>
      <c r="F106" s="11" t="str">
        <f t="shared" si="10"/>
        <v>OK</v>
      </c>
      <c r="G106" s="11" t="str">
        <f>IF(COUNTIFS($A:$A,A106,$E:E,E106)&gt;1,"NOK","OK")</f>
        <v>OK</v>
      </c>
      <c r="H106" s="11" t="str">
        <f t="shared" si="11"/>
        <v>OK</v>
      </c>
      <c r="I106" s="11" t="str">
        <f t="shared" si="12"/>
        <v>OK</v>
      </c>
      <c r="J106" s="11" t="str">
        <f t="shared" si="13"/>
        <v>OK</v>
      </c>
      <c r="K106" s="11" t="str">
        <f t="shared" si="14"/>
        <v>OK</v>
      </c>
      <c r="R106" t="str">
        <f t="shared" si="16"/>
        <v>Keep</v>
      </c>
    </row>
    <row r="107" spans="1:18" ht="15">
      <c r="A107" s="23" t="s">
        <v>116</v>
      </c>
      <c r="B107" s="24" t="s">
        <v>7</v>
      </c>
      <c r="C107" s="24" t="s">
        <v>84</v>
      </c>
      <c r="D107" s="7">
        <v>155975</v>
      </c>
      <c r="E107" s="24" t="s">
        <v>9</v>
      </c>
      <c r="F107" s="11" t="str">
        <f t="shared" si="10"/>
        <v>OK</v>
      </c>
      <c r="G107" s="11" t="str">
        <f>IF(COUNTIFS($A:$A,A107,$E:E,E107)&gt;1,"NOK","OK")</f>
        <v>OK</v>
      </c>
      <c r="H107" s="11" t="str">
        <f t="shared" si="11"/>
        <v>OK</v>
      </c>
      <c r="I107" s="11" t="str">
        <f t="shared" si="12"/>
        <v>OK</v>
      </c>
      <c r="J107" s="11" t="str">
        <f t="shared" si="13"/>
        <v>OK</v>
      </c>
      <c r="K107" s="11" t="str">
        <f t="shared" si="14"/>
        <v>OK</v>
      </c>
      <c r="R107" t="str">
        <f t="shared" si="16"/>
        <v>Keep</v>
      </c>
    </row>
    <row r="108" spans="1:18" ht="15">
      <c r="A108" s="23" t="s">
        <v>117</v>
      </c>
      <c r="B108" s="24" t="s">
        <v>11</v>
      </c>
      <c r="C108" s="24" t="s">
        <v>84</v>
      </c>
      <c r="D108" s="7">
        <v>206636</v>
      </c>
      <c r="E108" s="24" t="s">
        <v>16</v>
      </c>
      <c r="F108" s="11" t="str">
        <f t="shared" si="10"/>
        <v>OK</v>
      </c>
      <c r="G108" s="11" t="str">
        <f>IF(COUNTIFS($A:$A,A108,$E:E,E108)&gt;1,"NOK","OK")</f>
        <v>OK</v>
      </c>
      <c r="H108" s="11" t="str">
        <f t="shared" si="11"/>
        <v>OK</v>
      </c>
      <c r="I108" s="11" t="str">
        <f t="shared" si="12"/>
        <v>OK</v>
      </c>
      <c r="J108" s="11" t="str">
        <f t="shared" si="13"/>
        <v>OK</v>
      </c>
      <c r="K108" s="11" t="str">
        <f t="shared" si="14"/>
        <v>OK</v>
      </c>
      <c r="R108" t="str">
        <f t="shared" si="16"/>
        <v>Keep</v>
      </c>
    </row>
    <row r="109" spans="1:18" ht="15">
      <c r="A109" s="23" t="s">
        <v>118</v>
      </c>
      <c r="B109" s="24" t="s">
        <v>11</v>
      </c>
      <c r="C109" s="24" t="s">
        <v>84</v>
      </c>
      <c r="D109" s="7">
        <v>83146</v>
      </c>
      <c r="E109" s="24" t="s">
        <v>9</v>
      </c>
      <c r="F109" s="11" t="str">
        <f t="shared" si="10"/>
        <v>OK</v>
      </c>
      <c r="G109" s="11" t="str">
        <f>IF(COUNTIFS($A:$A,A109,$E:E,E109)&gt;1,"NOK","OK")</f>
        <v>OK</v>
      </c>
      <c r="H109" s="11" t="str">
        <f t="shared" si="11"/>
        <v>OK</v>
      </c>
      <c r="I109" s="11" t="str">
        <f t="shared" si="12"/>
        <v>OK</v>
      </c>
      <c r="J109" s="11" t="str">
        <f t="shared" si="13"/>
        <v>OK</v>
      </c>
      <c r="K109" s="11" t="str">
        <f t="shared" si="14"/>
        <v>OK</v>
      </c>
      <c r="R109" t="str">
        <f t="shared" si="16"/>
        <v>Keep</v>
      </c>
    </row>
    <row r="110" spans="1:18" ht="15">
      <c r="A110" s="23" t="s">
        <v>119</v>
      </c>
      <c r="B110" s="24" t="s">
        <v>7</v>
      </c>
      <c r="C110" s="24" t="s">
        <v>84</v>
      </c>
      <c r="D110" s="7">
        <v>85279</v>
      </c>
      <c r="E110" s="24" t="s">
        <v>12</v>
      </c>
      <c r="F110" s="11" t="str">
        <f t="shared" si="10"/>
        <v>OK</v>
      </c>
      <c r="G110" s="11" t="str">
        <f>IF(COUNTIFS($A:$A,A110,$E:E,E110)&gt;1,"NOK","OK")</f>
        <v>OK</v>
      </c>
      <c r="H110" s="11" t="str">
        <f t="shared" si="11"/>
        <v>OK</v>
      </c>
      <c r="I110" s="11" t="str">
        <f t="shared" si="12"/>
        <v>OK</v>
      </c>
      <c r="J110" s="11" t="str">
        <f t="shared" si="13"/>
        <v>OK</v>
      </c>
      <c r="K110" s="11" t="str">
        <f t="shared" si="14"/>
        <v>OK</v>
      </c>
      <c r="R110" t="str">
        <f t="shared" si="16"/>
        <v>Keep</v>
      </c>
    </row>
    <row r="111" spans="1:18" ht="15">
      <c r="A111" s="23" t="s">
        <v>120</v>
      </c>
      <c r="B111" s="24" t="s">
        <v>7</v>
      </c>
      <c r="C111" s="24" t="s">
        <v>84</v>
      </c>
      <c r="D111" s="7">
        <v>294632</v>
      </c>
      <c r="E111" s="24" t="s">
        <v>9</v>
      </c>
      <c r="F111" s="11" t="str">
        <f t="shared" si="10"/>
        <v>OK</v>
      </c>
      <c r="G111" s="11" t="str">
        <f>IF(COUNTIFS($A:$A,A111,$E:E,E111)&gt;1,"NOK","OK")</f>
        <v>OK</v>
      </c>
      <c r="H111" s="11" t="str">
        <f t="shared" si="11"/>
        <v>OK</v>
      </c>
      <c r="I111" s="11" t="str">
        <f t="shared" si="12"/>
        <v>OK</v>
      </c>
      <c r="J111" s="11" t="str">
        <f t="shared" si="13"/>
        <v>OK</v>
      </c>
      <c r="K111" s="11" t="str">
        <f t="shared" si="14"/>
        <v>OK</v>
      </c>
      <c r="R111" t="str">
        <f t="shared" si="16"/>
        <v>Keep</v>
      </c>
    </row>
    <row r="112" spans="1:18" ht="15">
      <c r="A112" s="23" t="s">
        <v>121</v>
      </c>
      <c r="B112" s="24" t="s">
        <v>7</v>
      </c>
      <c r="C112" s="24" t="s">
        <v>84</v>
      </c>
      <c r="D112" s="7">
        <v>36161</v>
      </c>
      <c r="E112" s="24" t="s">
        <v>16</v>
      </c>
      <c r="F112" s="11" t="str">
        <f t="shared" si="10"/>
        <v>OK</v>
      </c>
      <c r="G112" s="11" t="str">
        <f>IF(COUNTIFS($A:$A,A112,$E:E,E112)&gt;1,"NOK","OK")</f>
        <v>OK</v>
      </c>
      <c r="H112" s="11" t="str">
        <f t="shared" si="11"/>
        <v>OK</v>
      </c>
      <c r="I112" s="11" t="str">
        <f t="shared" si="12"/>
        <v>OK</v>
      </c>
      <c r="J112" s="11" t="str">
        <f t="shared" si="13"/>
        <v>OK</v>
      </c>
      <c r="K112" s="11" t="str">
        <f t="shared" si="14"/>
        <v>OK</v>
      </c>
      <c r="R112" t="str">
        <f t="shared" si="16"/>
        <v>Keep</v>
      </c>
    </row>
    <row r="113" spans="1:18" ht="15">
      <c r="A113" s="23" t="s">
        <v>122</v>
      </c>
      <c r="B113" s="24" t="s">
        <v>11</v>
      </c>
      <c r="C113" s="24" t="s">
        <v>84</v>
      </c>
      <c r="D113" s="7">
        <v>137979</v>
      </c>
      <c r="E113" s="24" t="s">
        <v>9</v>
      </c>
      <c r="F113" s="11" t="str">
        <f t="shared" si="10"/>
        <v>OK</v>
      </c>
      <c r="G113" s="11" t="str">
        <f>IF(COUNTIFS($A:$A,A113,$E:E,E113)&gt;1,"NOK","OK")</f>
        <v>OK</v>
      </c>
      <c r="H113" s="11" t="str">
        <f t="shared" si="11"/>
        <v>OK</v>
      </c>
      <c r="I113" s="11" t="str">
        <f t="shared" si="12"/>
        <v>OK</v>
      </c>
      <c r="J113" s="11" t="str">
        <f t="shared" si="13"/>
        <v>OK</v>
      </c>
      <c r="K113" s="11" t="str">
        <f t="shared" si="14"/>
        <v>OK</v>
      </c>
      <c r="R113" t="str">
        <f t="shared" si="16"/>
        <v>Keep</v>
      </c>
    </row>
    <row r="114" spans="1:18" ht="15">
      <c r="A114" s="23" t="s">
        <v>123</v>
      </c>
      <c r="B114" s="24" t="s">
        <v>7</v>
      </c>
      <c r="C114" s="24" t="s">
        <v>84</v>
      </c>
      <c r="D114" s="7">
        <v>36680</v>
      </c>
      <c r="E114" s="24" t="s">
        <v>9</v>
      </c>
      <c r="F114" s="11" t="str">
        <f t="shared" si="10"/>
        <v>OK</v>
      </c>
      <c r="G114" s="11" t="str">
        <f>IF(COUNTIFS($A:$A,A114,$E:E,E114)&gt;1,"NOK","OK")</f>
        <v>OK</v>
      </c>
      <c r="H114" s="11" t="str">
        <f t="shared" si="11"/>
        <v>OK</v>
      </c>
      <c r="I114" s="11" t="str">
        <f t="shared" si="12"/>
        <v>OK</v>
      </c>
      <c r="J114" s="11" t="str">
        <f t="shared" si="13"/>
        <v>OK</v>
      </c>
      <c r="K114" s="11" t="str">
        <f t="shared" si="14"/>
        <v>OK</v>
      </c>
      <c r="R114" t="str">
        <f t="shared" si="16"/>
        <v>Keep</v>
      </c>
    </row>
    <row r="115" spans="1:18" ht="15">
      <c r="A115" s="23" t="s">
        <v>124</v>
      </c>
      <c r="B115" s="24" t="s">
        <v>11</v>
      </c>
      <c r="C115" s="24" t="s">
        <v>84</v>
      </c>
      <c r="D115" s="7">
        <v>227142</v>
      </c>
      <c r="E115" s="24" t="s">
        <v>16</v>
      </c>
      <c r="F115" s="11" t="str">
        <f t="shared" si="10"/>
        <v>OK</v>
      </c>
      <c r="G115" s="11" t="str">
        <f>IF(COUNTIFS($A:$A,A115,$E:E,E115)&gt;1,"NOK","OK")</f>
        <v>OK</v>
      </c>
      <c r="H115" s="11" t="str">
        <f t="shared" si="11"/>
        <v>OK</v>
      </c>
      <c r="I115" s="11" t="str">
        <f t="shared" si="12"/>
        <v>OK</v>
      </c>
      <c r="J115" s="11" t="str">
        <f t="shared" si="13"/>
        <v>OK</v>
      </c>
      <c r="K115" s="11" t="str">
        <f t="shared" si="14"/>
        <v>OK</v>
      </c>
      <c r="R115" t="str">
        <f t="shared" si="16"/>
        <v>Keep</v>
      </c>
    </row>
    <row r="116" spans="1:18" ht="15">
      <c r="A116" s="23" t="s">
        <v>125</v>
      </c>
      <c r="B116" s="24" t="s">
        <v>11</v>
      </c>
      <c r="C116" s="24" t="s">
        <v>84</v>
      </c>
      <c r="D116" s="7">
        <v>13941</v>
      </c>
      <c r="E116" s="24" t="s">
        <v>9</v>
      </c>
      <c r="F116" s="11" t="str">
        <f t="shared" si="10"/>
        <v>OK</v>
      </c>
      <c r="G116" s="11" t="str">
        <f>IF(COUNTIFS($A:$A,A116,$E:E,E116)&gt;1,"NOK","OK")</f>
        <v>OK</v>
      </c>
      <c r="H116" s="11" t="str">
        <f t="shared" si="11"/>
        <v>OK</v>
      </c>
      <c r="I116" s="11" t="str">
        <f t="shared" si="12"/>
        <v>OK</v>
      </c>
      <c r="J116" s="11" t="str">
        <f t="shared" si="13"/>
        <v>OK</v>
      </c>
      <c r="K116" s="11" t="str">
        <f t="shared" si="14"/>
        <v>OK</v>
      </c>
      <c r="R116" t="str">
        <f t="shared" si="16"/>
        <v>Keep</v>
      </c>
    </row>
    <row r="117" spans="1:18" ht="15">
      <c r="A117" s="23" t="s">
        <v>126</v>
      </c>
      <c r="B117" s="24" t="s">
        <v>7</v>
      </c>
      <c r="C117" s="24" t="s">
        <v>84</v>
      </c>
      <c r="D117" s="7">
        <v>108552</v>
      </c>
      <c r="E117" s="24" t="s">
        <v>9</v>
      </c>
      <c r="F117" s="11" t="str">
        <f t="shared" si="10"/>
        <v>OK</v>
      </c>
      <c r="G117" s="11" t="str">
        <f>IF(COUNTIFS($A:$A,A117,$E:E,E117)&gt;1,"NOK","OK")</f>
        <v>OK</v>
      </c>
      <c r="H117" s="11" t="str">
        <f t="shared" si="11"/>
        <v>OK</v>
      </c>
      <c r="I117" s="11" t="str">
        <f t="shared" si="12"/>
        <v>OK</v>
      </c>
      <c r="J117" s="11" t="str">
        <f t="shared" si="13"/>
        <v>OK</v>
      </c>
      <c r="K117" s="11" t="str">
        <f t="shared" si="14"/>
        <v>OK</v>
      </c>
      <c r="R117" t="str">
        <f t="shared" si="16"/>
        <v>Keep</v>
      </c>
    </row>
    <row r="118" spans="1:18" ht="15">
      <c r="A118" s="23" t="s">
        <v>127</v>
      </c>
      <c r="B118" s="24" t="s">
        <v>7</v>
      </c>
      <c r="C118" s="24" t="s">
        <v>84</v>
      </c>
      <c r="D118" s="7">
        <v>53311</v>
      </c>
      <c r="E118" s="24" t="s">
        <v>9</v>
      </c>
      <c r="F118" s="11" t="str">
        <f t="shared" si="10"/>
        <v>OK</v>
      </c>
      <c r="G118" s="11" t="str">
        <f>IF(COUNTIFS($A:$A,A118,$E:E,E118)&gt;1,"NOK","OK")</f>
        <v>OK</v>
      </c>
      <c r="H118" s="11" t="str">
        <f t="shared" si="11"/>
        <v>OK</v>
      </c>
      <c r="I118" s="11" t="str">
        <f t="shared" si="12"/>
        <v>OK</v>
      </c>
      <c r="J118" s="11" t="str">
        <f t="shared" si="13"/>
        <v>OK</v>
      </c>
      <c r="K118" s="11" t="str">
        <f t="shared" si="14"/>
        <v>OK</v>
      </c>
      <c r="R118" t="str">
        <f t="shared" si="16"/>
        <v>Keep</v>
      </c>
    </row>
    <row r="119" spans="1:18" ht="15">
      <c r="A119" s="23" t="s">
        <v>128</v>
      </c>
      <c r="B119" s="24" t="s">
        <v>7</v>
      </c>
      <c r="C119" s="24" t="s">
        <v>84</v>
      </c>
      <c r="D119" s="7">
        <v>24984</v>
      </c>
      <c r="E119" s="24" t="s">
        <v>16</v>
      </c>
      <c r="F119" s="11" t="str">
        <f t="shared" si="10"/>
        <v>OK</v>
      </c>
      <c r="G119" s="11" t="str">
        <f>IF(COUNTIFS($A:$A,A119,$E:E,E119)&gt;1,"NOK","OK")</f>
        <v>OK</v>
      </c>
      <c r="H119" s="11" t="str">
        <f t="shared" si="11"/>
        <v>OK</v>
      </c>
      <c r="I119" s="11" t="str">
        <f t="shared" si="12"/>
        <v>OK</v>
      </c>
      <c r="J119" s="11" t="str">
        <f t="shared" si="13"/>
        <v>OK</v>
      </c>
      <c r="K119" s="11" t="str">
        <f t="shared" si="14"/>
        <v>OK</v>
      </c>
      <c r="R119" t="str">
        <f t="shared" si="16"/>
        <v>Keep</v>
      </c>
    </row>
    <row r="120" spans="1:18" ht="15">
      <c r="A120" s="23" t="s">
        <v>129</v>
      </c>
      <c r="B120" s="24" t="s">
        <v>11</v>
      </c>
      <c r="C120" s="24" t="s">
        <v>84</v>
      </c>
      <c r="D120" s="7">
        <v>228227</v>
      </c>
      <c r="E120" s="24" t="s">
        <v>9</v>
      </c>
      <c r="F120" s="11" t="str">
        <f t="shared" si="10"/>
        <v>OK</v>
      </c>
      <c r="G120" s="11" t="str">
        <f>IF(COUNTIFS($A:$A,A120,$E:E,E120)&gt;1,"NOK","OK")</f>
        <v>OK</v>
      </c>
      <c r="H120" s="11" t="str">
        <f t="shared" si="11"/>
        <v>OK</v>
      </c>
      <c r="I120" s="11" t="str">
        <f t="shared" si="12"/>
        <v>OK</v>
      </c>
      <c r="J120" s="11" t="str">
        <f t="shared" si="13"/>
        <v>OK</v>
      </c>
      <c r="K120" s="11" t="str">
        <f t="shared" si="14"/>
        <v>OK</v>
      </c>
      <c r="R120" t="str">
        <f t="shared" si="16"/>
        <v>Keep</v>
      </c>
    </row>
    <row r="121" spans="1:18" ht="15">
      <c r="A121" s="23" t="s">
        <v>130</v>
      </c>
      <c r="B121" s="24" t="s">
        <v>7</v>
      </c>
      <c r="C121" s="24" t="s">
        <v>84</v>
      </c>
      <c r="D121" s="7">
        <v>237770</v>
      </c>
      <c r="E121" s="24" t="s">
        <v>12</v>
      </c>
      <c r="F121" s="11" t="str">
        <f t="shared" si="10"/>
        <v>OK</v>
      </c>
      <c r="G121" s="11" t="str">
        <f>IF(COUNTIFS($A:$A,A121,$E:E,E121)&gt;1,"NOK","OK")</f>
        <v>OK</v>
      </c>
      <c r="H121" s="11" t="str">
        <f t="shared" si="11"/>
        <v>OK</v>
      </c>
      <c r="I121" s="11" t="str">
        <f t="shared" si="12"/>
        <v>OK</v>
      </c>
      <c r="J121" s="11" t="str">
        <f t="shared" si="13"/>
        <v>OK</v>
      </c>
      <c r="K121" s="11" t="str">
        <f t="shared" si="14"/>
        <v>OK</v>
      </c>
      <c r="R121" t="str">
        <f t="shared" si="16"/>
        <v>Keep</v>
      </c>
    </row>
    <row r="122" spans="1:18" ht="15">
      <c r="A122" s="23" t="s">
        <v>131</v>
      </c>
      <c r="B122" s="24" t="s">
        <v>7</v>
      </c>
      <c r="C122" s="24" t="s">
        <v>84</v>
      </c>
      <c r="D122" s="7">
        <v>232299</v>
      </c>
      <c r="E122" s="24" t="s">
        <v>12</v>
      </c>
      <c r="F122" s="11" t="str">
        <f t="shared" si="10"/>
        <v>OK</v>
      </c>
      <c r="G122" s="11" t="str">
        <f>IF(COUNTIFS($A:$A,A122,$E:E,E122)&gt;1,"NOK","OK")</f>
        <v>OK</v>
      </c>
      <c r="H122" s="11" t="str">
        <f t="shared" si="11"/>
        <v>OK</v>
      </c>
      <c r="I122" s="11" t="str">
        <f t="shared" si="12"/>
        <v>OK</v>
      </c>
      <c r="J122" s="11" t="str">
        <f t="shared" si="13"/>
        <v>OK</v>
      </c>
      <c r="K122" s="11" t="str">
        <f t="shared" si="14"/>
        <v>OK</v>
      </c>
      <c r="R122" t="str">
        <f t="shared" si="16"/>
        <v>Keep</v>
      </c>
    </row>
    <row r="123" spans="1:18" ht="15">
      <c r="A123" s="23" t="s">
        <v>132</v>
      </c>
      <c r="B123" s="24" t="s">
        <v>7</v>
      </c>
      <c r="C123" s="24" t="s">
        <v>84</v>
      </c>
      <c r="D123" s="7">
        <v>290433</v>
      </c>
      <c r="E123" s="24" t="s">
        <v>12</v>
      </c>
      <c r="F123" s="11" t="str">
        <f t="shared" si="10"/>
        <v>OK</v>
      </c>
      <c r="G123" s="11" t="str">
        <f>IF(COUNTIFS($A:$A,A123,$E:E,E123)&gt;1,"NOK","OK")</f>
        <v>OK</v>
      </c>
      <c r="H123" s="11" t="str">
        <f t="shared" si="11"/>
        <v>OK</v>
      </c>
      <c r="I123" s="11" t="str">
        <f t="shared" si="12"/>
        <v>OK</v>
      </c>
      <c r="J123" s="11" t="str">
        <f t="shared" si="13"/>
        <v>OK</v>
      </c>
      <c r="K123" s="11" t="str">
        <f t="shared" si="14"/>
        <v>OK</v>
      </c>
      <c r="R123" t="str">
        <f t="shared" si="16"/>
        <v>Keep</v>
      </c>
    </row>
    <row r="124" spans="1:18" ht="15">
      <c r="A124" s="23" t="s">
        <v>133</v>
      </c>
      <c r="B124" s="24" t="s">
        <v>7</v>
      </c>
      <c r="C124" s="24" t="s">
        <v>84</v>
      </c>
      <c r="D124" s="7">
        <v>276583</v>
      </c>
      <c r="E124" s="24" t="s">
        <v>16</v>
      </c>
      <c r="F124" s="11" t="str">
        <f t="shared" si="10"/>
        <v>OK</v>
      </c>
      <c r="G124" s="11" t="str">
        <f>IF(COUNTIFS($A:$A,A124,$E:E,E124)&gt;1,"NOK","OK")</f>
        <v>OK</v>
      </c>
      <c r="H124" s="11" t="str">
        <f t="shared" si="11"/>
        <v>OK</v>
      </c>
      <c r="I124" s="11" t="str">
        <f t="shared" si="12"/>
        <v>OK</v>
      </c>
      <c r="J124" s="11" t="str">
        <f t="shared" si="13"/>
        <v>OK</v>
      </c>
      <c r="K124" s="11" t="str">
        <f t="shared" si="14"/>
        <v>OK</v>
      </c>
      <c r="R124" t="str">
        <f t="shared" si="16"/>
        <v>Keep</v>
      </c>
    </row>
    <row r="125" spans="1:18" ht="15">
      <c r="A125" s="23" t="s">
        <v>134</v>
      </c>
      <c r="B125" s="24" t="s">
        <v>7</v>
      </c>
      <c r="C125" s="24" t="s">
        <v>84</v>
      </c>
      <c r="D125" s="7">
        <v>142128</v>
      </c>
      <c r="E125" s="24" t="s">
        <v>12</v>
      </c>
      <c r="F125" s="11" t="str">
        <f t="shared" si="10"/>
        <v>OK</v>
      </c>
      <c r="G125" s="11" t="str">
        <f>IF(COUNTIFS($A:$A,A125,$E:E,E125)&gt;1,"NOK","OK")</f>
        <v>OK</v>
      </c>
      <c r="H125" s="11" t="str">
        <f t="shared" si="11"/>
        <v>OK</v>
      </c>
      <c r="I125" s="11" t="str">
        <f t="shared" si="12"/>
        <v>OK</v>
      </c>
      <c r="J125" s="11" t="str">
        <f t="shared" si="13"/>
        <v>OK</v>
      </c>
      <c r="K125" s="11" t="str">
        <f t="shared" si="14"/>
        <v>OK</v>
      </c>
      <c r="R125" t="str">
        <f t="shared" si="16"/>
        <v>Keep</v>
      </c>
    </row>
    <row r="126" spans="1:18" ht="15">
      <c r="A126" s="23" t="s">
        <v>135</v>
      </c>
      <c r="B126" s="24" t="s">
        <v>7</v>
      </c>
      <c r="C126" s="24" t="s">
        <v>84</v>
      </c>
      <c r="D126" s="7">
        <v>9887</v>
      </c>
      <c r="E126" s="24" t="s">
        <v>9</v>
      </c>
      <c r="F126" s="11" t="str">
        <f t="shared" si="10"/>
        <v>OK</v>
      </c>
      <c r="G126" s="11" t="str">
        <f>IF(COUNTIFS($A:$A,A126,$E:E,E126)&gt;1,"NOK","OK")</f>
        <v>OK</v>
      </c>
      <c r="H126" s="11" t="str">
        <f t="shared" si="11"/>
        <v>OK</v>
      </c>
      <c r="I126" s="11" t="str">
        <f t="shared" si="12"/>
        <v>OK</v>
      </c>
      <c r="J126" s="11" t="str">
        <f t="shared" si="13"/>
        <v>OK</v>
      </c>
      <c r="K126" s="11" t="str">
        <f t="shared" si="14"/>
        <v>OK</v>
      </c>
      <c r="R126" t="str">
        <f t="shared" si="16"/>
        <v>Keep</v>
      </c>
    </row>
    <row r="127" spans="1:18" ht="15">
      <c r="A127" s="23" t="s">
        <v>136</v>
      </c>
      <c r="B127" s="24" t="s">
        <v>7</v>
      </c>
      <c r="C127" s="24" t="s">
        <v>84</v>
      </c>
      <c r="D127" s="7">
        <v>122944</v>
      </c>
      <c r="E127" s="24" t="s">
        <v>16</v>
      </c>
      <c r="F127" s="11" t="str">
        <f t="shared" si="10"/>
        <v>OK</v>
      </c>
      <c r="G127" s="11" t="str">
        <f>IF(COUNTIFS($A:$A,A127,$E:E,E127)&gt;1,"NOK","OK")</f>
        <v>OK</v>
      </c>
      <c r="H127" s="11" t="str">
        <f t="shared" si="11"/>
        <v>OK</v>
      </c>
      <c r="I127" s="11" t="str">
        <f t="shared" si="12"/>
        <v>OK</v>
      </c>
      <c r="J127" s="11" t="str">
        <f t="shared" si="13"/>
        <v>OK</v>
      </c>
      <c r="K127" s="11" t="str">
        <f t="shared" si="14"/>
        <v>OK</v>
      </c>
      <c r="R127" t="str">
        <f t="shared" si="16"/>
        <v>Keep</v>
      </c>
    </row>
    <row r="128" spans="1:18" ht="15">
      <c r="A128" s="23" t="s">
        <v>137</v>
      </c>
      <c r="B128" s="24" t="s">
        <v>7</v>
      </c>
      <c r="C128" s="24" t="s">
        <v>138</v>
      </c>
      <c r="D128" s="7">
        <v>248407</v>
      </c>
      <c r="E128" s="24" t="s">
        <v>16</v>
      </c>
      <c r="F128" s="11" t="str">
        <f t="shared" si="10"/>
        <v>OK</v>
      </c>
      <c r="G128" s="11" t="str">
        <f>IF(COUNTIFS($A:$A,A128,$E:E,E128)&gt;1,"NOK","OK")</f>
        <v>OK</v>
      </c>
      <c r="H128" s="11" t="str">
        <f t="shared" si="11"/>
        <v>OK</v>
      </c>
      <c r="I128" s="11" t="str">
        <f t="shared" si="12"/>
        <v>OK</v>
      </c>
      <c r="J128" s="11" t="str">
        <f t="shared" si="13"/>
        <v>OK</v>
      </c>
      <c r="K128" s="11" t="str">
        <f t="shared" si="14"/>
        <v>OK</v>
      </c>
      <c r="R128" t="str">
        <f t="shared" si="16"/>
        <v>Keep</v>
      </c>
    </row>
    <row r="129" spans="1:18" ht="15">
      <c r="A129" s="23" t="s">
        <v>139</v>
      </c>
      <c r="B129" s="24" t="s">
        <v>25</v>
      </c>
      <c r="C129" s="24" t="s">
        <v>138</v>
      </c>
      <c r="D129" s="7">
        <v>214317</v>
      </c>
      <c r="E129" s="24" t="s">
        <v>16</v>
      </c>
      <c r="F129" s="11" t="str">
        <f t="shared" si="10"/>
        <v>OK</v>
      </c>
      <c r="G129" s="11" t="str">
        <f>IF(COUNTIFS($A:$A,A129,$E:E,E129)&gt;1,"NOK","OK")</f>
        <v>OK</v>
      </c>
      <c r="H129" s="11" t="str">
        <f t="shared" si="11"/>
        <v>OK</v>
      </c>
      <c r="I129" s="11" t="str">
        <f t="shared" si="12"/>
        <v>OK</v>
      </c>
      <c r="J129" s="11" t="str">
        <f t="shared" si="13"/>
        <v>OK</v>
      </c>
      <c r="K129" s="11" t="str">
        <f t="shared" si="14"/>
        <v>OK</v>
      </c>
      <c r="R129" t="str">
        <f t="shared" si="16"/>
        <v>Keep</v>
      </c>
    </row>
    <row r="130" spans="1:18" ht="15">
      <c r="A130" s="23" t="s">
        <v>140</v>
      </c>
      <c r="B130" s="24" t="s">
        <v>25</v>
      </c>
      <c r="C130" s="24" t="s">
        <v>138</v>
      </c>
      <c r="D130" s="7">
        <v>199454</v>
      </c>
      <c r="E130" s="24" t="s">
        <v>9</v>
      </c>
      <c r="F130" s="11" t="str">
        <f t="shared" si="10"/>
        <v>OK</v>
      </c>
      <c r="G130" s="11" t="str">
        <f>IF(COUNTIFS($A:$A,A130,$E:E,E130)&gt;1,"NOK","OK")</f>
        <v>OK</v>
      </c>
      <c r="H130" s="11" t="str">
        <f t="shared" si="11"/>
        <v>OK</v>
      </c>
      <c r="I130" s="11" t="str">
        <f t="shared" si="12"/>
        <v>OK</v>
      </c>
      <c r="J130" s="11" t="str">
        <f t="shared" si="13"/>
        <v>OK</v>
      </c>
      <c r="K130" s="11" t="str">
        <f t="shared" si="14"/>
        <v>OK</v>
      </c>
      <c r="R130" t="str">
        <f t="shared" si="16"/>
        <v>Keep</v>
      </c>
    </row>
    <row r="131" spans="1:18" ht="15">
      <c r="A131" s="23" t="s">
        <v>141</v>
      </c>
      <c r="B131" s="24" t="s">
        <v>11</v>
      </c>
      <c r="C131" s="24" t="s">
        <v>138</v>
      </c>
      <c r="D131" s="7">
        <v>172495</v>
      </c>
      <c r="E131" s="24" t="s">
        <v>9</v>
      </c>
      <c r="F131" s="11" t="str">
        <f t="shared" si="10"/>
        <v>OK</v>
      </c>
      <c r="G131" s="11" t="str">
        <f>IF(COUNTIFS($A:$A,A131,$E:E,E131)&gt;1,"NOK","OK")</f>
        <v>OK</v>
      </c>
      <c r="H131" s="11" t="str">
        <f t="shared" si="11"/>
        <v>OK</v>
      </c>
      <c r="I131" s="11" t="str">
        <f t="shared" si="12"/>
        <v>OK</v>
      </c>
      <c r="J131" s="11" t="str">
        <f t="shared" si="13"/>
        <v>OK</v>
      </c>
      <c r="K131" s="11" t="str">
        <f t="shared" si="14"/>
        <v>OK</v>
      </c>
      <c r="R131" t="str">
        <f t="shared" si="16"/>
        <v>Keep</v>
      </c>
    </row>
    <row r="132" spans="1:18" ht="15">
      <c r="A132" s="23" t="s">
        <v>142</v>
      </c>
      <c r="B132" s="24" t="s">
        <v>11</v>
      </c>
      <c r="C132" s="24" t="s">
        <v>138</v>
      </c>
      <c r="D132" s="7">
        <v>166111</v>
      </c>
      <c r="E132" s="24" t="s">
        <v>9</v>
      </c>
      <c r="F132" s="11" t="str">
        <f t="shared" ref="F132:F195" si="17">IF(COUNTA($A132:$E132),"OK","NOK")</f>
        <v>OK</v>
      </c>
      <c r="G132" s="11" t="str">
        <f>IF(COUNTIFS($A:$A,A132,$E:E,E132)&gt;1,"NOK","OK")</f>
        <v>OK</v>
      </c>
      <c r="H132" s="11" t="str">
        <f t="shared" ref="H132:H195" si="18">IF(OR(B132="Corporate", B132="Emerging", B132="Enterprise", B132="Small Business"),"OK","NOK")</f>
        <v>OK</v>
      </c>
      <c r="I132" s="11" t="str">
        <f t="shared" ref="I132:I195" si="19">IF(OR(C132="ANZ", C132="DACH", C132="France", C132="North America", C132="UK"),"OK","NOK")</f>
        <v>OK</v>
      </c>
      <c r="J132" s="11" t="str">
        <f t="shared" ref="J132:J195" si="20">IF(OR(D132&lt;=0, D132&gt;300000),"NOK","OK")</f>
        <v>OK</v>
      </c>
      <c r="K132" s="11" t="str">
        <f t="shared" ref="K132:K195" si="21">IF(OR(E132="FY23", E132="FY24", E132="FY25"),"OK","NOK")</f>
        <v>OK</v>
      </c>
      <c r="R132" t="str">
        <f t="shared" si="16"/>
        <v>Keep</v>
      </c>
    </row>
    <row r="133" spans="1:18" ht="15">
      <c r="A133" s="23" t="s">
        <v>143</v>
      </c>
      <c r="B133" s="24" t="s">
        <v>7</v>
      </c>
      <c r="C133" s="24" t="s">
        <v>138</v>
      </c>
      <c r="D133" s="7">
        <v>137024</v>
      </c>
      <c r="E133" s="24" t="s">
        <v>9</v>
      </c>
      <c r="F133" s="11" t="str">
        <f t="shared" si="17"/>
        <v>OK</v>
      </c>
      <c r="G133" s="11" t="str">
        <f>IF(COUNTIFS($A:$A,A133,$E:E,E133)&gt;1,"NOK","OK")</f>
        <v>OK</v>
      </c>
      <c r="H133" s="11" t="str">
        <f t="shared" si="18"/>
        <v>OK</v>
      </c>
      <c r="I133" s="11" t="str">
        <f t="shared" si="19"/>
        <v>OK</v>
      </c>
      <c r="J133" s="11" t="str">
        <f t="shared" si="20"/>
        <v>OK</v>
      </c>
      <c r="K133" s="11" t="str">
        <f t="shared" si="21"/>
        <v>OK</v>
      </c>
      <c r="R133" t="str">
        <f t="shared" si="16"/>
        <v>Keep</v>
      </c>
    </row>
    <row r="134" spans="1:18" ht="15">
      <c r="A134" s="23" t="s">
        <v>144</v>
      </c>
      <c r="B134" s="24" t="s">
        <v>25</v>
      </c>
      <c r="C134" s="24" t="s">
        <v>138</v>
      </c>
      <c r="D134" s="7">
        <v>136865</v>
      </c>
      <c r="E134" s="24" t="s">
        <v>9</v>
      </c>
      <c r="F134" s="11" t="str">
        <f t="shared" si="17"/>
        <v>OK</v>
      </c>
      <c r="G134" s="11" t="str">
        <f>IF(COUNTIFS($A:$A,A134,$E:E,E134)&gt;1,"NOK","OK")</f>
        <v>OK</v>
      </c>
      <c r="H134" s="11" t="str">
        <f t="shared" si="18"/>
        <v>OK</v>
      </c>
      <c r="I134" s="11" t="str">
        <f t="shared" si="19"/>
        <v>OK</v>
      </c>
      <c r="J134" s="11" t="str">
        <f t="shared" si="20"/>
        <v>OK</v>
      </c>
      <c r="K134" s="11" t="str">
        <f t="shared" si="21"/>
        <v>OK</v>
      </c>
      <c r="R134" t="str">
        <f t="shared" si="16"/>
        <v>Keep</v>
      </c>
    </row>
    <row r="135" spans="1:18" ht="15">
      <c r="A135" s="23" t="s">
        <v>145</v>
      </c>
      <c r="B135" s="24" t="s">
        <v>11</v>
      </c>
      <c r="C135" s="24" t="s">
        <v>138</v>
      </c>
      <c r="D135" s="7">
        <v>135085</v>
      </c>
      <c r="E135" s="24" t="s">
        <v>9</v>
      </c>
      <c r="F135" s="11" t="str">
        <f t="shared" si="17"/>
        <v>OK</v>
      </c>
      <c r="G135" s="11" t="str">
        <f>IF(COUNTIFS($A:$A,A135,$E:E,E135)&gt;1,"NOK","OK")</f>
        <v>OK</v>
      </c>
      <c r="H135" s="11" t="str">
        <f t="shared" si="18"/>
        <v>OK</v>
      </c>
      <c r="I135" s="11" t="str">
        <f t="shared" si="19"/>
        <v>OK</v>
      </c>
      <c r="J135" s="11" t="str">
        <f t="shared" si="20"/>
        <v>OK</v>
      </c>
      <c r="K135" s="11" t="str">
        <f t="shared" si="21"/>
        <v>OK</v>
      </c>
      <c r="R135" t="str">
        <f t="shared" si="16"/>
        <v>Keep</v>
      </c>
    </row>
    <row r="136" spans="1:18" ht="15">
      <c r="A136" s="23" t="s">
        <v>146</v>
      </c>
      <c r="B136" s="24" t="s">
        <v>7</v>
      </c>
      <c r="C136" s="24" t="s">
        <v>138</v>
      </c>
      <c r="D136" s="7">
        <v>101958</v>
      </c>
      <c r="E136" s="24" t="s">
        <v>9</v>
      </c>
      <c r="F136" s="11" t="str">
        <f t="shared" si="17"/>
        <v>OK</v>
      </c>
      <c r="G136" s="11" t="str">
        <f>IF(COUNTIFS($A:$A,A136,$E:E,E136)&gt;1,"NOK","OK")</f>
        <v>OK</v>
      </c>
      <c r="H136" s="11" t="str">
        <f t="shared" si="18"/>
        <v>OK</v>
      </c>
      <c r="I136" s="11" t="str">
        <f t="shared" si="19"/>
        <v>OK</v>
      </c>
      <c r="J136" s="11" t="str">
        <f t="shared" si="20"/>
        <v>OK</v>
      </c>
      <c r="K136" s="11" t="str">
        <f t="shared" si="21"/>
        <v>OK</v>
      </c>
      <c r="R136" t="str">
        <f t="shared" si="16"/>
        <v>Keep</v>
      </c>
    </row>
    <row r="137" spans="1:18" ht="15">
      <c r="A137" s="23" t="s">
        <v>147</v>
      </c>
      <c r="B137" s="24" t="s">
        <v>11</v>
      </c>
      <c r="C137" s="24" t="s">
        <v>138</v>
      </c>
      <c r="D137" s="7">
        <v>60310</v>
      </c>
      <c r="E137" s="24" t="s">
        <v>9</v>
      </c>
      <c r="F137" s="11" t="str">
        <f t="shared" si="17"/>
        <v>OK</v>
      </c>
      <c r="G137" s="11" t="str">
        <f>IF(COUNTIFS($A:$A,A137,$E:E,E137)&gt;1,"NOK","OK")</f>
        <v>OK</v>
      </c>
      <c r="H137" s="11" t="str">
        <f t="shared" si="18"/>
        <v>OK</v>
      </c>
      <c r="I137" s="11" t="str">
        <f t="shared" si="19"/>
        <v>OK</v>
      </c>
      <c r="J137" s="11" t="str">
        <f t="shared" si="20"/>
        <v>OK</v>
      </c>
      <c r="K137" s="11" t="str">
        <f t="shared" si="21"/>
        <v>OK</v>
      </c>
      <c r="R137" t="str">
        <f t="shared" si="16"/>
        <v>Keep</v>
      </c>
    </row>
    <row r="138" spans="1:18" ht="15">
      <c r="A138" s="23" t="s">
        <v>148</v>
      </c>
      <c r="B138" s="24" t="s">
        <v>25</v>
      </c>
      <c r="C138" s="24" t="s">
        <v>138</v>
      </c>
      <c r="D138" s="7">
        <v>58645</v>
      </c>
      <c r="E138" s="24" t="s">
        <v>9</v>
      </c>
      <c r="F138" s="11" t="str">
        <f t="shared" si="17"/>
        <v>OK</v>
      </c>
      <c r="G138" s="11" t="str">
        <f>IF(COUNTIFS($A:$A,A138,$E:E,E138)&gt;1,"NOK","OK")</f>
        <v>OK</v>
      </c>
      <c r="H138" s="11" t="str">
        <f t="shared" si="18"/>
        <v>OK</v>
      </c>
      <c r="I138" s="11" t="str">
        <f t="shared" si="19"/>
        <v>OK</v>
      </c>
      <c r="J138" s="11" t="str">
        <f t="shared" si="20"/>
        <v>OK</v>
      </c>
      <c r="K138" s="11" t="str">
        <f t="shared" si="21"/>
        <v>OK</v>
      </c>
      <c r="R138" t="str">
        <f t="shared" si="16"/>
        <v>Keep</v>
      </c>
    </row>
    <row r="139" spans="1:18" ht="15">
      <c r="A139" s="23" t="s">
        <v>149</v>
      </c>
      <c r="B139" s="24" t="s">
        <v>11</v>
      </c>
      <c r="C139" s="24" t="s">
        <v>138</v>
      </c>
      <c r="D139" s="7">
        <v>42955</v>
      </c>
      <c r="E139" s="24" t="s">
        <v>9</v>
      </c>
      <c r="F139" s="11" t="str">
        <f t="shared" si="17"/>
        <v>OK</v>
      </c>
      <c r="G139" s="11" t="str">
        <f>IF(COUNTIFS($A:$A,A139,$E:E,E139)&gt;1,"NOK","OK")</f>
        <v>OK</v>
      </c>
      <c r="H139" s="11" t="str">
        <f t="shared" si="18"/>
        <v>OK</v>
      </c>
      <c r="I139" s="11" t="str">
        <f t="shared" si="19"/>
        <v>OK</v>
      </c>
      <c r="J139" s="11" t="str">
        <f t="shared" si="20"/>
        <v>OK</v>
      </c>
      <c r="K139" s="11" t="str">
        <f t="shared" si="21"/>
        <v>OK</v>
      </c>
      <c r="R139" t="str">
        <f t="shared" si="16"/>
        <v>Keep</v>
      </c>
    </row>
    <row r="140" spans="1:18" ht="15">
      <c r="A140" s="23" t="s">
        <v>150</v>
      </c>
      <c r="B140" s="24" t="s">
        <v>25</v>
      </c>
      <c r="C140" s="24" t="s">
        <v>138</v>
      </c>
      <c r="D140" s="7">
        <v>40332</v>
      </c>
      <c r="E140" s="24" t="s">
        <v>9</v>
      </c>
      <c r="F140" s="11" t="str">
        <f t="shared" si="17"/>
        <v>OK</v>
      </c>
      <c r="G140" s="11" t="str">
        <f>IF(COUNTIFS($A:$A,A140,$E:E,E140)&gt;1,"NOK","OK")</f>
        <v>OK</v>
      </c>
      <c r="H140" s="11" t="str">
        <f t="shared" si="18"/>
        <v>OK</v>
      </c>
      <c r="I140" s="11" t="str">
        <f t="shared" si="19"/>
        <v>OK</v>
      </c>
      <c r="J140" s="11" t="str">
        <f t="shared" si="20"/>
        <v>OK</v>
      </c>
      <c r="K140" s="11" t="str">
        <f t="shared" si="21"/>
        <v>OK</v>
      </c>
      <c r="R140" t="str">
        <f t="shared" si="16"/>
        <v>Keep</v>
      </c>
    </row>
    <row r="141" spans="1:18" ht="15">
      <c r="A141" s="23" t="s">
        <v>151</v>
      </c>
      <c r="B141" s="24" t="s">
        <v>25</v>
      </c>
      <c r="C141" s="24" t="s">
        <v>138</v>
      </c>
      <c r="D141" s="7">
        <v>31675</v>
      </c>
      <c r="E141" s="24" t="s">
        <v>9</v>
      </c>
      <c r="F141" s="11" t="str">
        <f t="shared" si="17"/>
        <v>OK</v>
      </c>
      <c r="G141" s="11" t="str">
        <f>IF(COUNTIFS($A:$A,A141,$E:E,E141)&gt;1,"NOK","OK")</f>
        <v>OK</v>
      </c>
      <c r="H141" s="11" t="str">
        <f t="shared" si="18"/>
        <v>OK</v>
      </c>
      <c r="I141" s="11" t="str">
        <f t="shared" si="19"/>
        <v>OK</v>
      </c>
      <c r="J141" s="11" t="str">
        <f t="shared" si="20"/>
        <v>OK</v>
      </c>
      <c r="K141" s="11" t="str">
        <f t="shared" si="21"/>
        <v>OK</v>
      </c>
      <c r="R141" t="str">
        <f t="shared" si="16"/>
        <v>Keep</v>
      </c>
    </row>
    <row r="142" spans="1:18" ht="15">
      <c r="A142" s="23" t="s">
        <v>152</v>
      </c>
      <c r="B142" s="24" t="s">
        <v>25</v>
      </c>
      <c r="C142" s="24" t="s">
        <v>138</v>
      </c>
      <c r="D142" s="7">
        <v>31290</v>
      </c>
      <c r="E142" s="24" t="s">
        <v>9</v>
      </c>
      <c r="F142" s="11" t="str">
        <f t="shared" si="17"/>
        <v>OK</v>
      </c>
      <c r="G142" s="11" t="str">
        <f>IF(COUNTIFS($A:$A,A142,$E:E,E142)&gt;1,"NOK","OK")</f>
        <v>OK</v>
      </c>
      <c r="H142" s="11" t="str">
        <f t="shared" si="18"/>
        <v>OK</v>
      </c>
      <c r="I142" s="11" t="str">
        <f t="shared" si="19"/>
        <v>OK</v>
      </c>
      <c r="J142" s="11" t="str">
        <f t="shared" si="20"/>
        <v>OK</v>
      </c>
      <c r="K142" s="11" t="str">
        <f t="shared" si="21"/>
        <v>OK</v>
      </c>
      <c r="R142" t="str">
        <f t="shared" si="16"/>
        <v>Keep</v>
      </c>
    </row>
    <row r="143" spans="1:18" ht="15">
      <c r="A143" s="23" t="s">
        <v>153</v>
      </c>
      <c r="B143" s="24" t="s">
        <v>11</v>
      </c>
      <c r="C143" s="24" t="s">
        <v>138</v>
      </c>
      <c r="D143" s="7">
        <v>238851</v>
      </c>
      <c r="E143" s="24" t="s">
        <v>16</v>
      </c>
      <c r="F143" s="11" t="str">
        <f t="shared" si="17"/>
        <v>OK</v>
      </c>
      <c r="G143" s="11" t="str">
        <f>IF(COUNTIFS($A:$A,A143,$E:E,E143)&gt;1,"NOK","OK")</f>
        <v>OK</v>
      </c>
      <c r="H143" s="11" t="str">
        <f t="shared" si="18"/>
        <v>OK</v>
      </c>
      <c r="I143" s="11" t="str">
        <f t="shared" si="19"/>
        <v>OK</v>
      </c>
      <c r="J143" s="11" t="str">
        <f t="shared" si="20"/>
        <v>OK</v>
      </c>
      <c r="K143" s="11" t="str">
        <f t="shared" si="21"/>
        <v>OK</v>
      </c>
      <c r="R143" t="str">
        <f t="shared" si="16"/>
        <v>Keep</v>
      </c>
    </row>
    <row r="144" spans="1:18" ht="15">
      <c r="A144" s="23" t="s">
        <v>154</v>
      </c>
      <c r="B144" s="24" t="s">
        <v>11</v>
      </c>
      <c r="C144" s="24" t="s">
        <v>138</v>
      </c>
      <c r="D144" s="7">
        <v>204080</v>
      </c>
      <c r="E144" s="24" t="s">
        <v>16</v>
      </c>
      <c r="F144" s="11" t="str">
        <f t="shared" si="17"/>
        <v>OK</v>
      </c>
      <c r="G144" s="11" t="str">
        <f>IF(COUNTIFS($A:$A,A144,$E:E,E144)&gt;1,"NOK","OK")</f>
        <v>OK</v>
      </c>
      <c r="H144" s="11" t="str">
        <f t="shared" si="18"/>
        <v>OK</v>
      </c>
      <c r="I144" s="11" t="str">
        <f t="shared" si="19"/>
        <v>OK</v>
      </c>
      <c r="J144" s="11" t="str">
        <f t="shared" si="20"/>
        <v>OK</v>
      </c>
      <c r="K144" s="11" t="str">
        <f t="shared" si="21"/>
        <v>OK</v>
      </c>
      <c r="R144" t="str">
        <f t="shared" si="16"/>
        <v>Keep</v>
      </c>
    </row>
    <row r="145" spans="1:18" ht="15">
      <c r="A145" s="23" t="s">
        <v>155</v>
      </c>
      <c r="B145" s="24" t="s">
        <v>7</v>
      </c>
      <c r="C145" s="24" t="s">
        <v>138</v>
      </c>
      <c r="D145" s="7">
        <v>203424</v>
      </c>
      <c r="E145" s="24" t="s">
        <v>16</v>
      </c>
      <c r="F145" s="11" t="str">
        <f t="shared" si="17"/>
        <v>OK</v>
      </c>
      <c r="G145" s="11" t="str">
        <f>IF(COUNTIFS($A:$A,A145,$E:E,E145)&gt;1,"NOK","OK")</f>
        <v>OK</v>
      </c>
      <c r="H145" s="11" t="str">
        <f t="shared" si="18"/>
        <v>OK</v>
      </c>
      <c r="I145" s="11" t="str">
        <f t="shared" si="19"/>
        <v>OK</v>
      </c>
      <c r="J145" s="11" t="str">
        <f t="shared" si="20"/>
        <v>OK</v>
      </c>
      <c r="K145" s="11" t="str">
        <f t="shared" si="21"/>
        <v>OK</v>
      </c>
      <c r="R145" t="str">
        <f t="shared" si="16"/>
        <v>Keep</v>
      </c>
    </row>
    <row r="146" spans="1:18" ht="15">
      <c r="A146" s="23" t="s">
        <v>156</v>
      </c>
      <c r="B146" s="24" t="s">
        <v>25</v>
      </c>
      <c r="C146" s="24" t="s">
        <v>138</v>
      </c>
      <c r="D146" s="7">
        <v>145048</v>
      </c>
      <c r="E146" s="24" t="s">
        <v>16</v>
      </c>
      <c r="F146" s="11" t="str">
        <f t="shared" si="17"/>
        <v>OK</v>
      </c>
      <c r="G146" s="11" t="str">
        <f>IF(COUNTIFS($A:$A,A146,$E:E,E146)&gt;1,"NOK","OK")</f>
        <v>OK</v>
      </c>
      <c r="H146" s="11" t="str">
        <f t="shared" si="18"/>
        <v>OK</v>
      </c>
      <c r="I146" s="11" t="str">
        <f t="shared" si="19"/>
        <v>OK</v>
      </c>
      <c r="J146" s="11" t="str">
        <f t="shared" si="20"/>
        <v>OK</v>
      </c>
      <c r="K146" s="11" t="str">
        <f t="shared" si="21"/>
        <v>OK</v>
      </c>
      <c r="R146" t="str">
        <f t="shared" si="16"/>
        <v>Keep</v>
      </c>
    </row>
    <row r="147" spans="1:18" ht="15">
      <c r="A147" s="23" t="s">
        <v>157</v>
      </c>
      <c r="B147" s="24" t="s">
        <v>25</v>
      </c>
      <c r="C147" s="24" t="s">
        <v>158</v>
      </c>
      <c r="D147" s="7">
        <v>92339</v>
      </c>
      <c r="E147" s="24" t="s">
        <v>16</v>
      </c>
      <c r="F147" s="11" t="str">
        <f t="shared" si="17"/>
        <v>OK</v>
      </c>
      <c r="G147" s="11" t="str">
        <f>IF(COUNTIFS($A:$A,A147,$E:E,E147)&gt;1,"NOK","OK")</f>
        <v>OK</v>
      </c>
      <c r="H147" s="11" t="str">
        <f t="shared" si="18"/>
        <v>OK</v>
      </c>
      <c r="I147" s="11" t="str">
        <f t="shared" si="19"/>
        <v>NOK</v>
      </c>
      <c r="J147" s="11" t="str">
        <f t="shared" si="20"/>
        <v>OK</v>
      </c>
      <c r="K147" s="11" t="str">
        <f t="shared" si="21"/>
        <v>OK</v>
      </c>
      <c r="R147" t="str">
        <f t="shared" si="16"/>
        <v>Hide</v>
      </c>
    </row>
    <row r="148" spans="1:18" ht="15">
      <c r="A148" s="23" t="s">
        <v>159</v>
      </c>
      <c r="B148" s="24" t="s">
        <v>11</v>
      </c>
      <c r="C148" s="24" t="s">
        <v>138</v>
      </c>
      <c r="D148" s="7">
        <v>65895</v>
      </c>
      <c r="E148" s="24" t="s">
        <v>16</v>
      </c>
      <c r="F148" s="11" t="str">
        <f t="shared" si="17"/>
        <v>OK</v>
      </c>
      <c r="G148" s="11" t="str">
        <f>IF(COUNTIFS($A:$A,A148,$E:E,E148)&gt;1,"NOK","OK")</f>
        <v>OK</v>
      </c>
      <c r="H148" s="11" t="str">
        <f t="shared" si="18"/>
        <v>OK</v>
      </c>
      <c r="I148" s="11" t="str">
        <f t="shared" si="19"/>
        <v>OK</v>
      </c>
      <c r="J148" s="11" t="str">
        <f t="shared" si="20"/>
        <v>OK</v>
      </c>
      <c r="K148" s="11" t="str">
        <f t="shared" si="21"/>
        <v>OK</v>
      </c>
      <c r="R148" t="str">
        <f t="shared" ref="R148:R174" si="22">IF(COUNTIF(F147:L147, "NOK") &gt; 0, "Hide", "Keep")</f>
        <v>Hide</v>
      </c>
    </row>
    <row r="149" spans="1:18" ht="15">
      <c r="A149" s="23" t="s">
        <v>160</v>
      </c>
      <c r="B149" s="24" t="s">
        <v>11</v>
      </c>
      <c r="C149" s="24" t="s">
        <v>138</v>
      </c>
      <c r="D149" s="7">
        <v>293326</v>
      </c>
      <c r="E149" s="24" t="s">
        <v>12</v>
      </c>
      <c r="F149" s="11" t="str">
        <f t="shared" si="17"/>
        <v>OK</v>
      </c>
      <c r="G149" s="11" t="str">
        <f>IF(COUNTIFS($A:$A,A149,$E:E,E149)&gt;1,"NOK","OK")</f>
        <v>OK</v>
      </c>
      <c r="H149" s="11" t="str">
        <f t="shared" si="18"/>
        <v>OK</v>
      </c>
      <c r="I149" s="11" t="str">
        <f t="shared" si="19"/>
        <v>OK</v>
      </c>
      <c r="J149" s="11" t="str">
        <f t="shared" si="20"/>
        <v>OK</v>
      </c>
      <c r="K149" s="11" t="str">
        <f t="shared" si="21"/>
        <v>OK</v>
      </c>
      <c r="R149" t="str">
        <f t="shared" ref="R149:R173" si="23">IF(COUNTIF(F149:K149, "NOK") &gt; 0, "Hide", "Keep")</f>
        <v>Keep</v>
      </c>
    </row>
    <row r="150" spans="1:18" ht="15">
      <c r="A150" s="23" t="s">
        <v>161</v>
      </c>
      <c r="B150" s="24" t="s">
        <v>11</v>
      </c>
      <c r="C150" s="24" t="s">
        <v>138</v>
      </c>
      <c r="D150" s="7">
        <v>291046</v>
      </c>
      <c r="E150" s="24" t="s">
        <v>12</v>
      </c>
      <c r="F150" s="11" t="str">
        <f t="shared" si="17"/>
        <v>OK</v>
      </c>
      <c r="G150" s="11" t="str">
        <f>IF(COUNTIFS($A:$A,A150,$E:E,E150)&gt;1,"NOK","OK")</f>
        <v>OK</v>
      </c>
      <c r="H150" s="11" t="str">
        <f t="shared" si="18"/>
        <v>OK</v>
      </c>
      <c r="I150" s="11" t="str">
        <f t="shared" si="19"/>
        <v>OK</v>
      </c>
      <c r="J150" s="11" t="str">
        <f t="shared" si="20"/>
        <v>OK</v>
      </c>
      <c r="K150" s="11" t="str">
        <f t="shared" si="21"/>
        <v>OK</v>
      </c>
      <c r="R150" t="str">
        <f t="shared" si="23"/>
        <v>Keep</v>
      </c>
    </row>
    <row r="151" spans="1:18" ht="15">
      <c r="A151" s="23" t="s">
        <v>162</v>
      </c>
      <c r="B151" s="24" t="s">
        <v>7</v>
      </c>
      <c r="C151" s="24" t="s">
        <v>138</v>
      </c>
      <c r="D151" s="7">
        <v>258135</v>
      </c>
      <c r="E151" s="24" t="s">
        <v>12</v>
      </c>
      <c r="F151" s="11" t="str">
        <f t="shared" si="17"/>
        <v>OK</v>
      </c>
      <c r="G151" s="11" t="str">
        <f>IF(COUNTIFS($A:$A,A151,$E:E,E151)&gt;1,"NOK","OK")</f>
        <v>OK</v>
      </c>
      <c r="H151" s="11" t="str">
        <f t="shared" si="18"/>
        <v>OK</v>
      </c>
      <c r="I151" s="11" t="str">
        <f t="shared" si="19"/>
        <v>OK</v>
      </c>
      <c r="J151" s="11" t="str">
        <f t="shared" si="20"/>
        <v>OK</v>
      </c>
      <c r="K151" s="11" t="str">
        <f t="shared" si="21"/>
        <v>OK</v>
      </c>
      <c r="R151" t="str">
        <f t="shared" si="23"/>
        <v>Keep</v>
      </c>
    </row>
    <row r="152" spans="1:18" ht="15">
      <c r="A152" s="23" t="s">
        <v>163</v>
      </c>
      <c r="B152" s="24" t="s">
        <v>7</v>
      </c>
      <c r="C152" s="24" t="s">
        <v>138</v>
      </c>
      <c r="D152" s="7">
        <v>204564</v>
      </c>
      <c r="E152" s="24" t="s">
        <v>12</v>
      </c>
      <c r="F152" s="11" t="str">
        <f t="shared" si="17"/>
        <v>OK</v>
      </c>
      <c r="G152" s="11" t="str">
        <f>IF(COUNTIFS($A:$A,A152,$E:E,E152)&gt;1,"NOK","OK")</f>
        <v>OK</v>
      </c>
      <c r="H152" s="11" t="str">
        <f t="shared" si="18"/>
        <v>OK</v>
      </c>
      <c r="I152" s="11" t="str">
        <f t="shared" si="19"/>
        <v>OK</v>
      </c>
      <c r="J152" s="11" t="str">
        <f t="shared" si="20"/>
        <v>OK</v>
      </c>
      <c r="K152" s="11" t="str">
        <f t="shared" si="21"/>
        <v>OK</v>
      </c>
      <c r="R152" t="str">
        <f t="shared" si="23"/>
        <v>Keep</v>
      </c>
    </row>
    <row r="153" spans="1:18" ht="15">
      <c r="A153" s="23" t="s">
        <v>164</v>
      </c>
      <c r="B153" s="24" t="s">
        <v>11</v>
      </c>
      <c r="C153" s="24" t="s">
        <v>138</v>
      </c>
      <c r="D153" s="7">
        <v>155214</v>
      </c>
      <c r="E153" s="24" t="s">
        <v>12</v>
      </c>
      <c r="F153" s="11" t="str">
        <f t="shared" si="17"/>
        <v>OK</v>
      </c>
      <c r="G153" s="11" t="str">
        <f>IF(COUNTIFS($A:$A,A153,$E:E,E153)&gt;1,"NOK","OK")</f>
        <v>OK</v>
      </c>
      <c r="H153" s="11" t="str">
        <f t="shared" si="18"/>
        <v>OK</v>
      </c>
      <c r="I153" s="11" t="str">
        <f t="shared" si="19"/>
        <v>OK</v>
      </c>
      <c r="J153" s="11" t="str">
        <f t="shared" si="20"/>
        <v>OK</v>
      </c>
      <c r="K153" s="11" t="str">
        <f t="shared" si="21"/>
        <v>OK</v>
      </c>
      <c r="R153" t="str">
        <f t="shared" si="23"/>
        <v>Keep</v>
      </c>
    </row>
    <row r="154" spans="1:18" ht="15">
      <c r="A154" s="23" t="s">
        <v>165</v>
      </c>
      <c r="B154" s="24" t="s">
        <v>7</v>
      </c>
      <c r="C154" s="24" t="s">
        <v>138</v>
      </c>
      <c r="D154" s="7">
        <v>130949</v>
      </c>
      <c r="E154" s="24" t="s">
        <v>12</v>
      </c>
      <c r="F154" s="11" t="str">
        <f t="shared" si="17"/>
        <v>OK</v>
      </c>
      <c r="G154" s="11" t="str">
        <f>IF(COUNTIFS($A:$A,A154,$E:E,E154)&gt;1,"NOK","OK")</f>
        <v>OK</v>
      </c>
      <c r="H154" s="11" t="str">
        <f t="shared" si="18"/>
        <v>OK</v>
      </c>
      <c r="I154" s="11" t="str">
        <f t="shared" si="19"/>
        <v>OK</v>
      </c>
      <c r="J154" s="11" t="str">
        <f t="shared" si="20"/>
        <v>OK</v>
      </c>
      <c r="K154" s="11" t="str">
        <f t="shared" si="21"/>
        <v>OK</v>
      </c>
      <c r="R154" t="str">
        <f t="shared" si="23"/>
        <v>Keep</v>
      </c>
    </row>
    <row r="155" spans="1:18" ht="15">
      <c r="A155" s="23" t="s">
        <v>166</v>
      </c>
      <c r="B155" s="24" t="s">
        <v>11</v>
      </c>
      <c r="C155" s="24" t="s">
        <v>138</v>
      </c>
      <c r="D155" s="7">
        <v>118343</v>
      </c>
      <c r="E155" s="24" t="s">
        <v>12</v>
      </c>
      <c r="F155" s="11" t="str">
        <f t="shared" si="17"/>
        <v>OK</v>
      </c>
      <c r="G155" s="11" t="str">
        <f>IF(COUNTIFS($A:$A,A155,$E:E,E155)&gt;1,"NOK","OK")</f>
        <v>OK</v>
      </c>
      <c r="H155" s="11" t="str">
        <f t="shared" si="18"/>
        <v>OK</v>
      </c>
      <c r="I155" s="11" t="str">
        <f t="shared" si="19"/>
        <v>OK</v>
      </c>
      <c r="J155" s="11" t="str">
        <f t="shared" si="20"/>
        <v>OK</v>
      </c>
      <c r="K155" s="11" t="str">
        <f t="shared" si="21"/>
        <v>OK</v>
      </c>
      <c r="R155" t="str">
        <f t="shared" si="23"/>
        <v>Keep</v>
      </c>
    </row>
    <row r="156" spans="1:18" ht="15">
      <c r="A156" s="23" t="s">
        <v>167</v>
      </c>
      <c r="B156" s="24" t="s">
        <v>11</v>
      </c>
      <c r="C156" s="24" t="s">
        <v>138</v>
      </c>
      <c r="D156" s="7">
        <v>107204</v>
      </c>
      <c r="E156" s="24" t="s">
        <v>12</v>
      </c>
      <c r="F156" s="11" t="str">
        <f t="shared" si="17"/>
        <v>OK</v>
      </c>
      <c r="G156" s="11" t="str">
        <f>IF(COUNTIFS($A:$A,A156,$E:E,E156)&gt;1,"NOK","OK")</f>
        <v>OK</v>
      </c>
      <c r="H156" s="11" t="str">
        <f t="shared" si="18"/>
        <v>OK</v>
      </c>
      <c r="I156" s="11" t="str">
        <f t="shared" si="19"/>
        <v>OK</v>
      </c>
      <c r="J156" s="11" t="str">
        <f t="shared" si="20"/>
        <v>OK</v>
      </c>
      <c r="K156" s="11" t="str">
        <f t="shared" si="21"/>
        <v>OK</v>
      </c>
      <c r="R156" t="str">
        <f t="shared" si="23"/>
        <v>Keep</v>
      </c>
    </row>
    <row r="157" spans="1:18" ht="15">
      <c r="A157" s="23" t="s">
        <v>168</v>
      </c>
      <c r="B157" s="24" t="s">
        <v>11</v>
      </c>
      <c r="C157" s="24" t="s">
        <v>138</v>
      </c>
      <c r="D157" s="7">
        <v>14570</v>
      </c>
      <c r="E157" s="24" t="s">
        <v>12</v>
      </c>
      <c r="F157" s="11" t="str">
        <f t="shared" si="17"/>
        <v>OK</v>
      </c>
      <c r="G157" s="11" t="str">
        <f>IF(COUNTIFS($A:$A,A157,$E:E,E157)&gt;1,"NOK","OK")</f>
        <v>OK</v>
      </c>
      <c r="H157" s="11" t="str">
        <f t="shared" si="18"/>
        <v>OK</v>
      </c>
      <c r="I157" s="11" t="str">
        <f t="shared" si="19"/>
        <v>OK</v>
      </c>
      <c r="J157" s="11" t="str">
        <f t="shared" si="20"/>
        <v>OK</v>
      </c>
      <c r="K157" s="11" t="str">
        <f t="shared" si="21"/>
        <v>OK</v>
      </c>
      <c r="R157" t="str">
        <f t="shared" si="23"/>
        <v>Keep</v>
      </c>
    </row>
    <row r="158" spans="1:18" ht="15">
      <c r="A158" s="23" t="s">
        <v>169</v>
      </c>
      <c r="B158" s="24" t="s">
        <v>11</v>
      </c>
      <c r="C158" s="24" t="s">
        <v>138</v>
      </c>
      <c r="D158" s="7">
        <v>14008</v>
      </c>
      <c r="E158" s="24" t="s">
        <v>12</v>
      </c>
      <c r="F158" s="11" t="str">
        <f t="shared" si="17"/>
        <v>OK</v>
      </c>
      <c r="G158" s="11" t="str">
        <f>IF(COUNTIFS($A:$A,A158,$E:E,E158)&gt;1,"NOK","OK")</f>
        <v>OK</v>
      </c>
      <c r="H158" s="11" t="str">
        <f t="shared" si="18"/>
        <v>OK</v>
      </c>
      <c r="I158" s="11" t="str">
        <f t="shared" si="19"/>
        <v>OK</v>
      </c>
      <c r="J158" s="11" t="str">
        <f t="shared" si="20"/>
        <v>OK</v>
      </c>
      <c r="K158" s="11" t="str">
        <f t="shared" si="21"/>
        <v>OK</v>
      </c>
      <c r="R158" t="str">
        <f t="shared" si="23"/>
        <v>Keep</v>
      </c>
    </row>
    <row r="159" spans="1:18" ht="15">
      <c r="A159" s="23" t="s">
        <v>170</v>
      </c>
      <c r="B159" s="24" t="s">
        <v>25</v>
      </c>
      <c r="C159" s="24" t="s">
        <v>138</v>
      </c>
      <c r="D159" s="7">
        <v>12412</v>
      </c>
      <c r="E159" s="24" t="s">
        <v>12</v>
      </c>
      <c r="F159" s="11" t="str">
        <f t="shared" si="17"/>
        <v>OK</v>
      </c>
      <c r="G159" s="11" t="str">
        <f>IF(COUNTIFS($A:$A,A159,$E:E,E159)&gt;1,"NOK","OK")</f>
        <v>OK</v>
      </c>
      <c r="H159" s="11" t="str">
        <f t="shared" si="18"/>
        <v>OK</v>
      </c>
      <c r="I159" s="11" t="str">
        <f t="shared" si="19"/>
        <v>OK</v>
      </c>
      <c r="J159" s="11" t="str">
        <f t="shared" si="20"/>
        <v>OK</v>
      </c>
      <c r="K159" s="11" t="str">
        <f t="shared" si="21"/>
        <v>OK</v>
      </c>
      <c r="R159" t="str">
        <f t="shared" si="23"/>
        <v>Keep</v>
      </c>
    </row>
    <row r="160" spans="1:18" ht="15">
      <c r="A160" s="23" t="s">
        <v>171</v>
      </c>
      <c r="B160" s="24" t="s">
        <v>7</v>
      </c>
      <c r="C160" s="24" t="s">
        <v>172</v>
      </c>
      <c r="D160" s="7">
        <v>187359</v>
      </c>
      <c r="E160" s="24" t="s">
        <v>9</v>
      </c>
      <c r="F160" s="11" t="str">
        <f t="shared" si="17"/>
        <v>OK</v>
      </c>
      <c r="G160" s="11" t="str">
        <f>IF(COUNTIFS($A:$A,A160,$E:E,E160)&gt;1,"NOK","OK")</f>
        <v>OK</v>
      </c>
      <c r="H160" s="11" t="str">
        <f t="shared" si="18"/>
        <v>OK</v>
      </c>
      <c r="I160" s="11" t="str">
        <f t="shared" si="19"/>
        <v>OK</v>
      </c>
      <c r="J160" s="11" t="str">
        <f t="shared" si="20"/>
        <v>OK</v>
      </c>
      <c r="K160" s="11" t="str">
        <f t="shared" si="21"/>
        <v>OK</v>
      </c>
      <c r="R160" t="str">
        <f t="shared" si="23"/>
        <v>Keep</v>
      </c>
    </row>
    <row r="161" spans="1:18" ht="15">
      <c r="A161" s="23" t="s">
        <v>173</v>
      </c>
      <c r="B161" s="24" t="s">
        <v>11</v>
      </c>
      <c r="C161" s="24" t="s">
        <v>172</v>
      </c>
      <c r="D161" s="7">
        <v>278974</v>
      </c>
      <c r="E161" s="24" t="s">
        <v>9</v>
      </c>
      <c r="F161" s="11" t="str">
        <f t="shared" si="17"/>
        <v>OK</v>
      </c>
      <c r="G161" s="11" t="str">
        <f>IF(COUNTIFS($A:$A,A161,$E:E,E161)&gt;1,"NOK","OK")</f>
        <v>OK</v>
      </c>
      <c r="H161" s="11" t="str">
        <f t="shared" si="18"/>
        <v>OK</v>
      </c>
      <c r="I161" s="11" t="str">
        <f t="shared" si="19"/>
        <v>OK</v>
      </c>
      <c r="J161" s="11" t="str">
        <f t="shared" si="20"/>
        <v>OK</v>
      </c>
      <c r="K161" s="11" t="str">
        <f t="shared" si="21"/>
        <v>OK</v>
      </c>
      <c r="R161" t="str">
        <f t="shared" si="23"/>
        <v>Keep</v>
      </c>
    </row>
    <row r="162" spans="1:18" ht="15">
      <c r="A162" s="23" t="s">
        <v>174</v>
      </c>
      <c r="B162" s="24" t="s">
        <v>25</v>
      </c>
      <c r="C162" s="24" t="s">
        <v>172</v>
      </c>
      <c r="D162" s="7">
        <v>60204</v>
      </c>
      <c r="E162" s="24" t="s">
        <v>16</v>
      </c>
      <c r="F162" s="11" t="str">
        <f t="shared" si="17"/>
        <v>OK</v>
      </c>
      <c r="G162" s="11" t="str">
        <f>IF(COUNTIFS($A:$A,A162,$E:E,E162)&gt;1,"NOK","OK")</f>
        <v>OK</v>
      </c>
      <c r="H162" s="11" t="str">
        <f t="shared" si="18"/>
        <v>OK</v>
      </c>
      <c r="I162" s="11" t="str">
        <f t="shared" si="19"/>
        <v>OK</v>
      </c>
      <c r="J162" s="11" t="str">
        <f t="shared" si="20"/>
        <v>OK</v>
      </c>
      <c r="K162" s="11" t="str">
        <f t="shared" si="21"/>
        <v>OK</v>
      </c>
      <c r="R162" t="str">
        <f t="shared" si="23"/>
        <v>Keep</v>
      </c>
    </row>
    <row r="163" spans="1:18" ht="15">
      <c r="A163" s="23" t="s">
        <v>175</v>
      </c>
      <c r="B163" s="24" t="s">
        <v>7</v>
      </c>
      <c r="C163" s="24" t="s">
        <v>172</v>
      </c>
      <c r="D163" s="7">
        <v>197457</v>
      </c>
      <c r="E163" s="24" t="s">
        <v>12</v>
      </c>
      <c r="F163" s="11" t="str">
        <f t="shared" si="17"/>
        <v>OK</v>
      </c>
      <c r="G163" s="11" t="str">
        <f>IF(COUNTIFS($A:$A,A163,$E:E,E163)&gt;1,"NOK","OK")</f>
        <v>OK</v>
      </c>
      <c r="H163" s="11" t="str">
        <f t="shared" si="18"/>
        <v>OK</v>
      </c>
      <c r="I163" s="11" t="str">
        <f t="shared" si="19"/>
        <v>OK</v>
      </c>
      <c r="J163" s="11" t="str">
        <f t="shared" si="20"/>
        <v>OK</v>
      </c>
      <c r="K163" s="11" t="str">
        <f t="shared" si="21"/>
        <v>OK</v>
      </c>
      <c r="R163" t="str">
        <f t="shared" si="23"/>
        <v>Keep</v>
      </c>
    </row>
    <row r="164" spans="1:18" ht="15">
      <c r="A164" s="23" t="s">
        <v>176</v>
      </c>
      <c r="B164" s="24" t="s">
        <v>7</v>
      </c>
      <c r="C164" s="24" t="s">
        <v>172</v>
      </c>
      <c r="D164" s="7">
        <v>99639</v>
      </c>
      <c r="E164" s="24" t="s">
        <v>16</v>
      </c>
      <c r="F164" s="11" t="str">
        <f t="shared" si="17"/>
        <v>OK</v>
      </c>
      <c r="G164" s="11" t="str">
        <f>IF(COUNTIFS($A:$A,A164,$E:E,E164)&gt;1,"NOK","OK")</f>
        <v>OK</v>
      </c>
      <c r="H164" s="11" t="str">
        <f t="shared" si="18"/>
        <v>OK</v>
      </c>
      <c r="I164" s="11" t="str">
        <f t="shared" si="19"/>
        <v>OK</v>
      </c>
      <c r="J164" s="11" t="str">
        <f t="shared" si="20"/>
        <v>OK</v>
      </c>
      <c r="K164" s="11" t="str">
        <f t="shared" si="21"/>
        <v>OK</v>
      </c>
      <c r="R164" t="str">
        <f t="shared" si="23"/>
        <v>Keep</v>
      </c>
    </row>
    <row r="165" spans="1:18" ht="15">
      <c r="A165" s="23" t="s">
        <v>177</v>
      </c>
      <c r="B165" s="24" t="s">
        <v>7</v>
      </c>
      <c r="C165" s="24" t="s">
        <v>172</v>
      </c>
      <c r="D165" s="7">
        <v>292028</v>
      </c>
      <c r="E165" s="24" t="s">
        <v>9</v>
      </c>
      <c r="F165" s="11" t="str">
        <f t="shared" si="17"/>
        <v>OK</v>
      </c>
      <c r="G165" s="11" t="str">
        <f>IF(COUNTIFS($A:$A,A165,$E:E,E165)&gt;1,"NOK","OK")</f>
        <v>OK</v>
      </c>
      <c r="H165" s="11" t="str">
        <f t="shared" si="18"/>
        <v>OK</v>
      </c>
      <c r="I165" s="11" t="str">
        <f t="shared" si="19"/>
        <v>OK</v>
      </c>
      <c r="J165" s="11" t="str">
        <f t="shared" si="20"/>
        <v>OK</v>
      </c>
      <c r="K165" s="11" t="str">
        <f t="shared" si="21"/>
        <v>OK</v>
      </c>
      <c r="R165" t="str">
        <f t="shared" si="23"/>
        <v>Keep</v>
      </c>
    </row>
    <row r="166" spans="1:18" ht="15">
      <c r="A166" s="23" t="s">
        <v>178</v>
      </c>
      <c r="B166" s="24" t="s">
        <v>11</v>
      </c>
      <c r="C166" s="24" t="s">
        <v>172</v>
      </c>
      <c r="D166" s="7">
        <v>272367</v>
      </c>
      <c r="E166" s="24" t="s">
        <v>12</v>
      </c>
      <c r="F166" s="11" t="str">
        <f t="shared" si="17"/>
        <v>OK</v>
      </c>
      <c r="G166" s="11" t="str">
        <f>IF(COUNTIFS($A:$A,A166,$E:E,E166)&gt;1,"NOK","OK")</f>
        <v>OK</v>
      </c>
      <c r="H166" s="11" t="str">
        <f t="shared" si="18"/>
        <v>OK</v>
      </c>
      <c r="I166" s="11" t="str">
        <f t="shared" si="19"/>
        <v>OK</v>
      </c>
      <c r="J166" s="11" t="str">
        <f t="shared" si="20"/>
        <v>OK</v>
      </c>
      <c r="K166" s="11" t="str">
        <f t="shared" si="21"/>
        <v>OK</v>
      </c>
      <c r="R166" t="str">
        <f t="shared" si="23"/>
        <v>Keep</v>
      </c>
    </row>
    <row r="167" spans="1:18" ht="15">
      <c r="A167" s="23" t="s">
        <v>179</v>
      </c>
      <c r="B167" s="24" t="s">
        <v>11</v>
      </c>
      <c r="C167" s="24" t="s">
        <v>172</v>
      </c>
      <c r="D167" s="7">
        <v>262793</v>
      </c>
      <c r="E167" s="24" t="s">
        <v>16</v>
      </c>
      <c r="F167" s="11" t="str">
        <f t="shared" si="17"/>
        <v>OK</v>
      </c>
      <c r="G167" s="11" t="str">
        <f>IF(COUNTIFS($A:$A,A167,$E:E,E167)&gt;1,"NOK","OK")</f>
        <v>OK</v>
      </c>
      <c r="H167" s="11" t="str">
        <f t="shared" si="18"/>
        <v>OK</v>
      </c>
      <c r="I167" s="11" t="str">
        <f t="shared" si="19"/>
        <v>OK</v>
      </c>
      <c r="J167" s="11" t="str">
        <f t="shared" si="20"/>
        <v>OK</v>
      </c>
      <c r="K167" s="11" t="str">
        <f t="shared" si="21"/>
        <v>OK</v>
      </c>
      <c r="R167" t="str">
        <f t="shared" si="23"/>
        <v>Keep</v>
      </c>
    </row>
    <row r="168" spans="1:18" ht="15">
      <c r="A168" s="23" t="s">
        <v>180</v>
      </c>
      <c r="B168" s="24" t="s">
        <v>25</v>
      </c>
      <c r="C168" s="24" t="s">
        <v>172</v>
      </c>
      <c r="D168" s="7">
        <v>183804</v>
      </c>
      <c r="E168" s="24" t="s">
        <v>12</v>
      </c>
      <c r="F168" s="11" t="str">
        <f t="shared" si="17"/>
        <v>OK</v>
      </c>
      <c r="G168" s="11" t="str">
        <f>IF(COUNTIFS($A:$A,A168,$E:E,E168)&gt;1,"NOK","OK")</f>
        <v>OK</v>
      </c>
      <c r="H168" s="11" t="str">
        <f t="shared" si="18"/>
        <v>OK</v>
      </c>
      <c r="I168" s="11" t="str">
        <f t="shared" si="19"/>
        <v>OK</v>
      </c>
      <c r="J168" s="11" t="str">
        <f t="shared" si="20"/>
        <v>OK</v>
      </c>
      <c r="K168" s="11" t="str">
        <f t="shared" si="21"/>
        <v>OK</v>
      </c>
      <c r="R168" t="str">
        <f t="shared" si="23"/>
        <v>Keep</v>
      </c>
    </row>
    <row r="169" spans="1:18" ht="15">
      <c r="A169" s="23" t="s">
        <v>181</v>
      </c>
      <c r="B169" s="24" t="s">
        <v>7</v>
      </c>
      <c r="C169" s="24" t="s">
        <v>172</v>
      </c>
      <c r="D169" s="7">
        <v>114109</v>
      </c>
      <c r="E169" s="24" t="s">
        <v>12</v>
      </c>
      <c r="F169" s="11" t="str">
        <f t="shared" si="17"/>
        <v>OK</v>
      </c>
      <c r="G169" s="11" t="str">
        <f>IF(COUNTIFS($A:$A,A169,$E:E,E169)&gt;1,"NOK","OK")</f>
        <v>OK</v>
      </c>
      <c r="H169" s="11" t="str">
        <f t="shared" si="18"/>
        <v>OK</v>
      </c>
      <c r="I169" s="11" t="str">
        <f t="shared" si="19"/>
        <v>OK</v>
      </c>
      <c r="J169" s="11" t="str">
        <f t="shared" si="20"/>
        <v>OK</v>
      </c>
      <c r="K169" s="11" t="str">
        <f t="shared" si="21"/>
        <v>OK</v>
      </c>
      <c r="R169" t="str">
        <f t="shared" si="23"/>
        <v>Keep</v>
      </c>
    </row>
    <row r="170" spans="1:18" ht="15">
      <c r="A170" s="23" t="s">
        <v>182</v>
      </c>
      <c r="B170" s="24" t="s">
        <v>7</v>
      </c>
      <c r="C170" s="24" t="s">
        <v>172</v>
      </c>
      <c r="D170" s="7">
        <v>50621</v>
      </c>
      <c r="E170" s="24" t="s">
        <v>9</v>
      </c>
      <c r="F170" s="11" t="str">
        <f t="shared" si="17"/>
        <v>OK</v>
      </c>
      <c r="G170" s="11" t="str">
        <f>IF(COUNTIFS($A:$A,A170,$E:E,E170)&gt;1,"NOK","OK")</f>
        <v>OK</v>
      </c>
      <c r="H170" s="11" t="str">
        <f t="shared" si="18"/>
        <v>OK</v>
      </c>
      <c r="I170" s="11" t="str">
        <f t="shared" si="19"/>
        <v>OK</v>
      </c>
      <c r="J170" s="11" t="str">
        <f t="shared" si="20"/>
        <v>OK</v>
      </c>
      <c r="K170" s="11" t="str">
        <f t="shared" si="21"/>
        <v>OK</v>
      </c>
      <c r="R170" t="str">
        <f t="shared" si="23"/>
        <v>Keep</v>
      </c>
    </row>
    <row r="171" spans="1:18" ht="15">
      <c r="A171" s="23" t="s">
        <v>183</v>
      </c>
      <c r="B171" s="24" t="s">
        <v>11</v>
      </c>
      <c r="C171" s="24" t="s">
        <v>172</v>
      </c>
      <c r="D171" s="7">
        <v>209002</v>
      </c>
      <c r="E171" s="24" t="s">
        <v>16</v>
      </c>
      <c r="F171" s="11" t="str">
        <f t="shared" si="17"/>
        <v>OK</v>
      </c>
      <c r="G171" s="11" t="str">
        <f>IF(COUNTIFS($A:$A,A171,$E:E,E171)&gt;1,"NOK","OK")</f>
        <v>OK</v>
      </c>
      <c r="H171" s="11" t="str">
        <f t="shared" si="18"/>
        <v>OK</v>
      </c>
      <c r="I171" s="11" t="str">
        <f t="shared" si="19"/>
        <v>OK</v>
      </c>
      <c r="J171" s="11" t="str">
        <f t="shared" si="20"/>
        <v>OK</v>
      </c>
      <c r="K171" s="11" t="str">
        <f t="shared" si="21"/>
        <v>OK</v>
      </c>
      <c r="R171" t="str">
        <f t="shared" si="23"/>
        <v>Keep</v>
      </c>
    </row>
    <row r="172" spans="1:18" ht="15">
      <c r="A172" s="23" t="s">
        <v>184</v>
      </c>
      <c r="B172" s="24" t="s">
        <v>11</v>
      </c>
      <c r="C172" s="24" t="s">
        <v>172</v>
      </c>
      <c r="D172" s="7">
        <v>139398</v>
      </c>
      <c r="E172" s="24" t="s">
        <v>9</v>
      </c>
      <c r="F172" s="11" t="str">
        <f t="shared" si="17"/>
        <v>OK</v>
      </c>
      <c r="G172" s="11" t="str">
        <f>IF(COUNTIFS($A:$A,A172,$E:E,E172)&gt;1,"NOK","OK")</f>
        <v>OK</v>
      </c>
      <c r="H172" s="11" t="str">
        <f t="shared" si="18"/>
        <v>OK</v>
      </c>
      <c r="I172" s="11" t="str">
        <f t="shared" si="19"/>
        <v>OK</v>
      </c>
      <c r="J172" s="11" t="str">
        <f t="shared" si="20"/>
        <v>OK</v>
      </c>
      <c r="K172" s="11" t="str">
        <f t="shared" si="21"/>
        <v>OK</v>
      </c>
      <c r="R172" t="str">
        <f t="shared" si="23"/>
        <v>Keep</v>
      </c>
    </row>
    <row r="173" spans="1:18" ht="15">
      <c r="A173" s="24" t="s">
        <v>11</v>
      </c>
      <c r="B173" s="23" t="s">
        <v>185</v>
      </c>
      <c r="C173" s="24" t="s">
        <v>172</v>
      </c>
      <c r="D173" s="7">
        <v>6620</v>
      </c>
      <c r="E173" s="24" t="s">
        <v>16</v>
      </c>
      <c r="F173" s="11" t="str">
        <f t="shared" si="17"/>
        <v>OK</v>
      </c>
      <c r="G173" s="11" t="str">
        <f>IF(COUNTIFS($A:$A,A173,$E:E,E173)&gt;1,"NOK","OK")</f>
        <v>OK</v>
      </c>
      <c r="H173" s="11" t="str">
        <f t="shared" si="18"/>
        <v>NOK</v>
      </c>
      <c r="I173" s="11" t="str">
        <f t="shared" si="19"/>
        <v>OK</v>
      </c>
      <c r="J173" s="11" t="str">
        <f t="shared" si="20"/>
        <v>OK</v>
      </c>
      <c r="K173" s="11" t="str">
        <f t="shared" si="21"/>
        <v>OK</v>
      </c>
      <c r="R173" t="str">
        <f t="shared" si="23"/>
        <v>Hide</v>
      </c>
    </row>
    <row r="174" spans="1:18" ht="15">
      <c r="A174" s="23" t="s">
        <v>186</v>
      </c>
      <c r="B174" s="24" t="s">
        <v>7</v>
      </c>
      <c r="C174" s="24" t="s">
        <v>172</v>
      </c>
      <c r="D174" s="7">
        <v>242420</v>
      </c>
      <c r="E174" s="24" t="s">
        <v>16</v>
      </c>
      <c r="F174" s="11" t="str">
        <f t="shared" si="17"/>
        <v>OK</v>
      </c>
      <c r="G174" s="11" t="str">
        <f>IF(COUNTIFS($A:$A,A174,$E:E,E174)&gt;1,"NOK","OK")</f>
        <v>OK</v>
      </c>
      <c r="H174" s="11" t="str">
        <f t="shared" si="18"/>
        <v>OK</v>
      </c>
      <c r="I174" s="11" t="str">
        <f t="shared" si="19"/>
        <v>OK</v>
      </c>
      <c r="J174" s="11" t="str">
        <f t="shared" si="20"/>
        <v>OK</v>
      </c>
      <c r="K174" s="11" t="str">
        <f t="shared" si="21"/>
        <v>OK</v>
      </c>
      <c r="R174" t="str">
        <f t="shared" si="22"/>
        <v>Hide</v>
      </c>
    </row>
    <row r="175" spans="1:18" ht="15">
      <c r="A175" s="23" t="s">
        <v>187</v>
      </c>
      <c r="B175" s="24" t="s">
        <v>11</v>
      </c>
      <c r="C175" s="24" t="s">
        <v>172</v>
      </c>
      <c r="D175" s="7">
        <v>49442</v>
      </c>
      <c r="E175" s="24" t="s">
        <v>12</v>
      </c>
      <c r="F175" s="11" t="str">
        <f t="shared" si="17"/>
        <v>OK</v>
      </c>
      <c r="G175" s="11" t="str">
        <f>IF(COUNTIFS($A:$A,A175,$E:E,E175)&gt;1,"NOK","OK")</f>
        <v>OK</v>
      </c>
      <c r="H175" s="11" t="str">
        <f t="shared" si="18"/>
        <v>OK</v>
      </c>
      <c r="I175" s="11" t="str">
        <f t="shared" si="19"/>
        <v>OK</v>
      </c>
      <c r="J175" s="11" t="str">
        <f t="shared" si="20"/>
        <v>OK</v>
      </c>
      <c r="K175" s="11" t="str">
        <f t="shared" si="21"/>
        <v>OK</v>
      </c>
      <c r="R175" t="str">
        <f t="shared" ref="R175:R238" si="24">IF(COUNTIF(F175:K175, "NOK") &gt; 0, "Hide", "Keep")</f>
        <v>Keep</v>
      </c>
    </row>
    <row r="176" spans="1:18" ht="15">
      <c r="A176" s="23" t="s">
        <v>188</v>
      </c>
      <c r="B176" s="24" t="s">
        <v>11</v>
      </c>
      <c r="C176" s="24" t="s">
        <v>172</v>
      </c>
      <c r="D176" s="7">
        <v>164614</v>
      </c>
      <c r="E176" s="24" t="s">
        <v>9</v>
      </c>
      <c r="F176" s="11" t="str">
        <f t="shared" si="17"/>
        <v>OK</v>
      </c>
      <c r="G176" s="11" t="str">
        <f>IF(COUNTIFS($A:$A,A176,$E:E,E176)&gt;1,"NOK","OK")</f>
        <v>OK</v>
      </c>
      <c r="H176" s="11" t="str">
        <f t="shared" si="18"/>
        <v>OK</v>
      </c>
      <c r="I176" s="11" t="str">
        <f t="shared" si="19"/>
        <v>OK</v>
      </c>
      <c r="J176" s="11" t="str">
        <f t="shared" si="20"/>
        <v>OK</v>
      </c>
      <c r="K176" s="11" t="str">
        <f t="shared" si="21"/>
        <v>OK</v>
      </c>
      <c r="R176" t="str">
        <f t="shared" si="24"/>
        <v>Keep</v>
      </c>
    </row>
    <row r="177" spans="1:18" ht="15">
      <c r="A177" s="23" t="s">
        <v>189</v>
      </c>
      <c r="B177" s="24" t="s">
        <v>7</v>
      </c>
      <c r="C177" s="24" t="s">
        <v>172</v>
      </c>
      <c r="D177" s="7">
        <v>285017</v>
      </c>
      <c r="E177" s="24" t="s">
        <v>12</v>
      </c>
      <c r="F177" s="11" t="str">
        <f t="shared" si="17"/>
        <v>OK</v>
      </c>
      <c r="G177" s="11" t="str">
        <f>IF(COUNTIFS($A:$A,A177,$E:E,E177)&gt;1,"NOK","OK")</f>
        <v>OK</v>
      </c>
      <c r="H177" s="11" t="str">
        <f t="shared" si="18"/>
        <v>OK</v>
      </c>
      <c r="I177" s="11" t="str">
        <f t="shared" si="19"/>
        <v>OK</v>
      </c>
      <c r="J177" s="11" t="str">
        <f t="shared" si="20"/>
        <v>OK</v>
      </c>
      <c r="K177" s="11" t="str">
        <f t="shared" si="21"/>
        <v>OK</v>
      </c>
      <c r="R177" t="str">
        <f t="shared" si="24"/>
        <v>Keep</v>
      </c>
    </row>
    <row r="178" spans="1:18" ht="15">
      <c r="A178" s="23" t="s">
        <v>190</v>
      </c>
      <c r="B178" s="24" t="s">
        <v>7</v>
      </c>
      <c r="C178" s="24" t="s">
        <v>172</v>
      </c>
      <c r="D178" s="7">
        <v>117201</v>
      </c>
      <c r="E178" s="24" t="s">
        <v>16</v>
      </c>
      <c r="F178" s="11" t="str">
        <f t="shared" si="17"/>
        <v>OK</v>
      </c>
      <c r="G178" s="11" t="str">
        <f>IF(COUNTIFS($A:$A,A178,$E:E,E178)&gt;1,"NOK","OK")</f>
        <v>OK</v>
      </c>
      <c r="H178" s="11" t="str">
        <f t="shared" si="18"/>
        <v>OK</v>
      </c>
      <c r="I178" s="11" t="str">
        <f t="shared" si="19"/>
        <v>OK</v>
      </c>
      <c r="J178" s="11" t="str">
        <f t="shared" si="20"/>
        <v>OK</v>
      </c>
      <c r="K178" s="11" t="str">
        <f t="shared" si="21"/>
        <v>OK</v>
      </c>
      <c r="R178" t="str">
        <f t="shared" si="24"/>
        <v>Keep</v>
      </c>
    </row>
    <row r="179" spans="1:18" ht="15">
      <c r="A179" s="23" t="s">
        <v>191</v>
      </c>
      <c r="B179" s="24" t="s">
        <v>11</v>
      </c>
      <c r="C179" s="24" t="s">
        <v>172</v>
      </c>
      <c r="D179" s="7">
        <v>257061</v>
      </c>
      <c r="E179" s="24" t="s">
        <v>12</v>
      </c>
      <c r="F179" s="11" t="str">
        <f t="shared" si="17"/>
        <v>OK</v>
      </c>
      <c r="G179" s="11" t="str">
        <f>IF(COUNTIFS($A:$A,A179,$E:E,E179)&gt;1,"NOK","OK")</f>
        <v>OK</v>
      </c>
      <c r="H179" s="11" t="str">
        <f t="shared" si="18"/>
        <v>OK</v>
      </c>
      <c r="I179" s="11" t="str">
        <f t="shared" si="19"/>
        <v>OK</v>
      </c>
      <c r="J179" s="11" t="str">
        <f t="shared" si="20"/>
        <v>OK</v>
      </c>
      <c r="K179" s="11" t="str">
        <f t="shared" si="21"/>
        <v>OK</v>
      </c>
      <c r="R179" t="str">
        <f t="shared" si="24"/>
        <v>Keep</v>
      </c>
    </row>
    <row r="180" spans="1:18" ht="15">
      <c r="A180" s="23" t="s">
        <v>192</v>
      </c>
      <c r="B180" s="24" t="s">
        <v>11</v>
      </c>
      <c r="C180" s="24" t="s">
        <v>172</v>
      </c>
      <c r="D180" s="7">
        <v>152055</v>
      </c>
      <c r="E180" s="24" t="s">
        <v>12</v>
      </c>
      <c r="F180" s="11" t="str">
        <f t="shared" si="17"/>
        <v>OK</v>
      </c>
      <c r="G180" s="11" t="str">
        <f>IF(COUNTIFS($A:$A,A180,$E:E,E180)&gt;1,"NOK","OK")</f>
        <v>OK</v>
      </c>
      <c r="H180" s="11" t="str">
        <f t="shared" si="18"/>
        <v>OK</v>
      </c>
      <c r="I180" s="11" t="str">
        <f t="shared" si="19"/>
        <v>OK</v>
      </c>
      <c r="J180" s="11" t="str">
        <f t="shared" si="20"/>
        <v>OK</v>
      </c>
      <c r="K180" s="11" t="str">
        <f t="shared" si="21"/>
        <v>OK</v>
      </c>
      <c r="R180" t="str">
        <f t="shared" si="24"/>
        <v>Keep</v>
      </c>
    </row>
    <row r="181" spans="1:18" ht="15">
      <c r="A181" s="23" t="s">
        <v>193</v>
      </c>
      <c r="B181" s="24" t="s">
        <v>11</v>
      </c>
      <c r="C181" s="24" t="s">
        <v>172</v>
      </c>
      <c r="D181" s="7">
        <v>158418</v>
      </c>
      <c r="E181" s="24" t="s">
        <v>16</v>
      </c>
      <c r="F181" s="11" t="str">
        <f t="shared" si="17"/>
        <v>OK</v>
      </c>
      <c r="G181" s="11" t="str">
        <f>IF(COUNTIFS($A:$A,A181,$E:E,E181)&gt;1,"NOK","OK")</f>
        <v>OK</v>
      </c>
      <c r="H181" s="11" t="str">
        <f t="shared" si="18"/>
        <v>OK</v>
      </c>
      <c r="I181" s="11" t="str">
        <f t="shared" si="19"/>
        <v>OK</v>
      </c>
      <c r="J181" s="11" t="str">
        <f t="shared" si="20"/>
        <v>OK</v>
      </c>
      <c r="K181" s="11" t="str">
        <f t="shared" si="21"/>
        <v>OK</v>
      </c>
      <c r="R181" t="str">
        <f t="shared" si="24"/>
        <v>Keep</v>
      </c>
    </row>
    <row r="182" spans="1:18" ht="15">
      <c r="A182" s="23" t="s">
        <v>194</v>
      </c>
      <c r="B182" s="24" t="s">
        <v>7</v>
      </c>
      <c r="C182" s="24" t="s">
        <v>172</v>
      </c>
      <c r="D182" s="7">
        <v>22918</v>
      </c>
      <c r="E182" s="24" t="s">
        <v>12</v>
      </c>
      <c r="F182" s="11" t="str">
        <f t="shared" si="17"/>
        <v>OK</v>
      </c>
      <c r="G182" s="11" t="str">
        <f>IF(COUNTIFS($A:$A,A182,$E:E,E182)&gt;1,"NOK","OK")</f>
        <v>OK</v>
      </c>
      <c r="H182" s="11" t="str">
        <f t="shared" si="18"/>
        <v>OK</v>
      </c>
      <c r="I182" s="11" t="str">
        <f t="shared" si="19"/>
        <v>OK</v>
      </c>
      <c r="J182" s="11" t="str">
        <f t="shared" si="20"/>
        <v>OK</v>
      </c>
      <c r="K182" s="11" t="str">
        <f t="shared" si="21"/>
        <v>OK</v>
      </c>
      <c r="R182" t="str">
        <f t="shared" si="24"/>
        <v>Keep</v>
      </c>
    </row>
    <row r="183" spans="1:18" ht="15">
      <c r="A183" s="23" t="s">
        <v>195</v>
      </c>
      <c r="B183" s="24" t="s">
        <v>11</v>
      </c>
      <c r="C183" s="24" t="s">
        <v>172</v>
      </c>
      <c r="D183" s="7">
        <v>15360</v>
      </c>
      <c r="E183" s="24" t="s">
        <v>16</v>
      </c>
      <c r="F183" s="11" t="str">
        <f t="shared" si="17"/>
        <v>OK</v>
      </c>
      <c r="G183" s="11" t="str">
        <f>IF(COUNTIFS($A:$A,A183,$E:E,E183)&gt;1,"NOK","OK")</f>
        <v>OK</v>
      </c>
      <c r="H183" s="11" t="str">
        <f t="shared" si="18"/>
        <v>OK</v>
      </c>
      <c r="I183" s="11" t="str">
        <f t="shared" si="19"/>
        <v>OK</v>
      </c>
      <c r="J183" s="11" t="str">
        <f t="shared" si="20"/>
        <v>OK</v>
      </c>
      <c r="K183" s="11" t="str">
        <f t="shared" si="21"/>
        <v>OK</v>
      </c>
      <c r="R183" t="str">
        <f t="shared" si="24"/>
        <v>Keep</v>
      </c>
    </row>
    <row r="184" spans="1:18" ht="15">
      <c r="A184" s="23" t="s">
        <v>196</v>
      </c>
      <c r="B184" s="24" t="s">
        <v>7</v>
      </c>
      <c r="C184" s="24" t="s">
        <v>172</v>
      </c>
      <c r="D184" s="7">
        <v>195575</v>
      </c>
      <c r="E184" s="24" t="s">
        <v>16</v>
      </c>
      <c r="F184" s="11" t="str">
        <f t="shared" si="17"/>
        <v>OK</v>
      </c>
      <c r="G184" s="11" t="str">
        <f>IF(COUNTIFS($A:$A,A184,$E:E,E184)&gt;1,"NOK","OK")</f>
        <v>OK</v>
      </c>
      <c r="H184" s="11" t="str">
        <f t="shared" si="18"/>
        <v>OK</v>
      </c>
      <c r="I184" s="11" t="str">
        <f t="shared" si="19"/>
        <v>OK</v>
      </c>
      <c r="J184" s="11" t="str">
        <f t="shared" si="20"/>
        <v>OK</v>
      </c>
      <c r="K184" s="11" t="str">
        <f t="shared" si="21"/>
        <v>OK</v>
      </c>
      <c r="R184" t="str">
        <f t="shared" si="24"/>
        <v>Keep</v>
      </c>
    </row>
    <row r="185" spans="1:18" ht="15">
      <c r="A185" s="23" t="s">
        <v>197</v>
      </c>
      <c r="B185" s="24" t="s">
        <v>7</v>
      </c>
      <c r="C185" s="24" t="s">
        <v>172</v>
      </c>
      <c r="D185" s="7">
        <v>91529</v>
      </c>
      <c r="E185" s="24" t="s">
        <v>12</v>
      </c>
      <c r="F185" s="11" t="str">
        <f t="shared" si="17"/>
        <v>OK</v>
      </c>
      <c r="G185" s="11" t="str">
        <f>IF(COUNTIFS($A:$A,A185,$E:E,E185)&gt;1,"NOK","OK")</f>
        <v>OK</v>
      </c>
      <c r="H185" s="11" t="str">
        <f t="shared" si="18"/>
        <v>OK</v>
      </c>
      <c r="I185" s="11" t="str">
        <f t="shared" si="19"/>
        <v>OK</v>
      </c>
      <c r="J185" s="11" t="str">
        <f t="shared" si="20"/>
        <v>OK</v>
      </c>
      <c r="K185" s="11" t="str">
        <f t="shared" si="21"/>
        <v>OK</v>
      </c>
      <c r="R185" t="str">
        <f t="shared" si="24"/>
        <v>Keep</v>
      </c>
    </row>
    <row r="186" spans="1:18" ht="15">
      <c r="A186" s="23" t="s">
        <v>198</v>
      </c>
      <c r="B186" s="24" t="s">
        <v>7</v>
      </c>
      <c r="C186" s="24" t="s">
        <v>172</v>
      </c>
      <c r="D186" s="7">
        <v>67618</v>
      </c>
      <c r="E186" s="24" t="s">
        <v>12</v>
      </c>
      <c r="F186" s="11" t="str">
        <f t="shared" si="17"/>
        <v>OK</v>
      </c>
      <c r="G186" s="11" t="str">
        <f>IF(COUNTIFS($A:$A,A186,$E:E,E186)&gt;1,"NOK","OK")</f>
        <v>OK</v>
      </c>
      <c r="H186" s="11" t="str">
        <f t="shared" si="18"/>
        <v>OK</v>
      </c>
      <c r="I186" s="11" t="str">
        <f t="shared" si="19"/>
        <v>OK</v>
      </c>
      <c r="J186" s="11" t="str">
        <f t="shared" si="20"/>
        <v>OK</v>
      </c>
      <c r="K186" s="11" t="str">
        <f t="shared" si="21"/>
        <v>OK</v>
      </c>
      <c r="R186" t="str">
        <f t="shared" si="24"/>
        <v>Keep</v>
      </c>
    </row>
    <row r="187" spans="1:18" ht="15">
      <c r="A187" s="23" t="s">
        <v>199</v>
      </c>
      <c r="B187" s="24" t="s">
        <v>7</v>
      </c>
      <c r="C187" s="24" t="s">
        <v>172</v>
      </c>
      <c r="D187" s="7">
        <v>68970</v>
      </c>
      <c r="E187" s="24" t="s">
        <v>12</v>
      </c>
      <c r="F187" s="11" t="str">
        <f t="shared" si="17"/>
        <v>OK</v>
      </c>
      <c r="G187" s="11" t="str">
        <f>IF(COUNTIFS($A:$A,A187,$E:E,E187)&gt;1,"NOK","OK")</f>
        <v>OK</v>
      </c>
      <c r="H187" s="11" t="str">
        <f t="shared" si="18"/>
        <v>OK</v>
      </c>
      <c r="I187" s="11" t="str">
        <f t="shared" si="19"/>
        <v>OK</v>
      </c>
      <c r="J187" s="11" t="str">
        <f t="shared" si="20"/>
        <v>OK</v>
      </c>
      <c r="K187" s="11" t="str">
        <f t="shared" si="21"/>
        <v>OK</v>
      </c>
      <c r="R187" t="str">
        <f t="shared" si="24"/>
        <v>Keep</v>
      </c>
    </row>
    <row r="188" spans="1:18" ht="15">
      <c r="A188" s="23" t="s">
        <v>200</v>
      </c>
      <c r="B188" s="24" t="s">
        <v>11</v>
      </c>
      <c r="C188" s="24" t="s">
        <v>172</v>
      </c>
      <c r="D188" s="7">
        <v>141618</v>
      </c>
      <c r="E188" s="24" t="s">
        <v>16</v>
      </c>
      <c r="F188" s="11" t="str">
        <f t="shared" si="17"/>
        <v>OK</v>
      </c>
      <c r="G188" s="11" t="str">
        <f>IF(COUNTIFS($A:$A,A188,$E:E,E188)&gt;1,"NOK","OK")</f>
        <v>OK</v>
      </c>
      <c r="H188" s="11" t="str">
        <f t="shared" si="18"/>
        <v>OK</v>
      </c>
      <c r="I188" s="11" t="str">
        <f t="shared" si="19"/>
        <v>OK</v>
      </c>
      <c r="J188" s="11" t="str">
        <f t="shared" si="20"/>
        <v>OK</v>
      </c>
      <c r="K188" s="11" t="str">
        <f t="shared" si="21"/>
        <v>OK</v>
      </c>
      <c r="R188" t="str">
        <f t="shared" si="24"/>
        <v>Keep</v>
      </c>
    </row>
    <row r="189" spans="1:18" ht="15">
      <c r="A189" s="23" t="s">
        <v>201</v>
      </c>
      <c r="B189" s="24" t="s">
        <v>7</v>
      </c>
      <c r="C189" s="24" t="s">
        <v>172</v>
      </c>
      <c r="D189" s="7">
        <v>252613</v>
      </c>
      <c r="E189" s="24" t="s">
        <v>9</v>
      </c>
      <c r="F189" s="11" t="str">
        <f t="shared" si="17"/>
        <v>OK</v>
      </c>
      <c r="G189" s="11" t="str">
        <f>IF(COUNTIFS($A:$A,A189,$E:E,E189)&gt;1,"NOK","OK")</f>
        <v>OK</v>
      </c>
      <c r="H189" s="11" t="str">
        <f t="shared" si="18"/>
        <v>OK</v>
      </c>
      <c r="I189" s="11" t="str">
        <f t="shared" si="19"/>
        <v>OK</v>
      </c>
      <c r="J189" s="11" t="str">
        <f t="shared" si="20"/>
        <v>OK</v>
      </c>
      <c r="K189" s="11" t="str">
        <f t="shared" si="21"/>
        <v>OK</v>
      </c>
      <c r="R189" t="str">
        <f t="shared" si="24"/>
        <v>Keep</v>
      </c>
    </row>
    <row r="190" spans="1:18" ht="15">
      <c r="A190" s="23" t="s">
        <v>202</v>
      </c>
      <c r="B190" s="24" t="s">
        <v>11</v>
      </c>
      <c r="C190" s="24" t="s">
        <v>172</v>
      </c>
      <c r="D190" s="7">
        <v>63755</v>
      </c>
      <c r="E190" s="24" t="s">
        <v>16</v>
      </c>
      <c r="F190" s="11" t="str">
        <f t="shared" si="17"/>
        <v>OK</v>
      </c>
      <c r="G190" s="11" t="str">
        <f>IF(COUNTIFS($A:$A,A190,$E:E,E190)&gt;1,"NOK","OK")</f>
        <v>OK</v>
      </c>
      <c r="H190" s="11" t="str">
        <f t="shared" si="18"/>
        <v>OK</v>
      </c>
      <c r="I190" s="11" t="str">
        <f t="shared" si="19"/>
        <v>OK</v>
      </c>
      <c r="J190" s="11" t="str">
        <f t="shared" si="20"/>
        <v>OK</v>
      </c>
      <c r="K190" s="11" t="str">
        <f t="shared" si="21"/>
        <v>OK</v>
      </c>
      <c r="R190" t="str">
        <f t="shared" si="24"/>
        <v>Keep</v>
      </c>
    </row>
    <row r="191" spans="1:18" ht="15">
      <c r="A191" s="23" t="s">
        <v>203</v>
      </c>
      <c r="B191" s="24" t="s">
        <v>11</v>
      </c>
      <c r="C191" s="24" t="s">
        <v>172</v>
      </c>
      <c r="D191" s="7">
        <v>258632</v>
      </c>
      <c r="E191" s="24" t="s">
        <v>12</v>
      </c>
      <c r="F191" s="11" t="str">
        <f t="shared" si="17"/>
        <v>OK</v>
      </c>
      <c r="G191" s="11" t="str">
        <f>IF(COUNTIFS($A:$A,A191,$E:E,E191)&gt;1,"NOK","OK")</f>
        <v>OK</v>
      </c>
      <c r="H191" s="11" t="str">
        <f t="shared" si="18"/>
        <v>OK</v>
      </c>
      <c r="I191" s="11" t="str">
        <f t="shared" si="19"/>
        <v>OK</v>
      </c>
      <c r="J191" s="11" t="str">
        <f t="shared" si="20"/>
        <v>OK</v>
      </c>
      <c r="K191" s="11" t="str">
        <f t="shared" si="21"/>
        <v>OK</v>
      </c>
      <c r="R191" t="str">
        <f t="shared" si="24"/>
        <v>Keep</v>
      </c>
    </row>
    <row r="192" spans="1:18" ht="15">
      <c r="A192" s="23" t="s">
        <v>204</v>
      </c>
      <c r="B192" s="24" t="s">
        <v>7</v>
      </c>
      <c r="C192" s="24" t="s">
        <v>172</v>
      </c>
      <c r="D192" s="7">
        <v>7436</v>
      </c>
      <c r="E192" s="24" t="s">
        <v>9</v>
      </c>
      <c r="F192" s="11" t="str">
        <f t="shared" si="17"/>
        <v>OK</v>
      </c>
      <c r="G192" s="11" t="str">
        <f>IF(COUNTIFS($A:$A,A192,$E:E,E192)&gt;1,"NOK","OK")</f>
        <v>OK</v>
      </c>
      <c r="H192" s="11" t="str">
        <f t="shared" si="18"/>
        <v>OK</v>
      </c>
      <c r="I192" s="11" t="str">
        <f t="shared" si="19"/>
        <v>OK</v>
      </c>
      <c r="J192" s="11" t="str">
        <f t="shared" si="20"/>
        <v>OK</v>
      </c>
      <c r="K192" s="11" t="str">
        <f t="shared" si="21"/>
        <v>OK</v>
      </c>
      <c r="R192" t="str">
        <f t="shared" si="24"/>
        <v>Keep</v>
      </c>
    </row>
    <row r="193" spans="1:18" ht="15">
      <c r="A193" s="23" t="s">
        <v>205</v>
      </c>
      <c r="B193" s="24" t="s">
        <v>11</v>
      </c>
      <c r="C193" s="24" t="s">
        <v>172</v>
      </c>
      <c r="D193" s="7">
        <v>102611</v>
      </c>
      <c r="E193" s="24" t="s">
        <v>12</v>
      </c>
      <c r="F193" s="11" t="str">
        <f t="shared" si="17"/>
        <v>OK</v>
      </c>
      <c r="G193" s="11" t="str">
        <f>IF(COUNTIFS($A:$A,A193,$E:E,E193)&gt;1,"NOK","OK")</f>
        <v>OK</v>
      </c>
      <c r="H193" s="11" t="str">
        <f t="shared" si="18"/>
        <v>OK</v>
      </c>
      <c r="I193" s="11" t="str">
        <f t="shared" si="19"/>
        <v>OK</v>
      </c>
      <c r="J193" s="11" t="str">
        <f t="shared" si="20"/>
        <v>OK</v>
      </c>
      <c r="K193" s="11" t="str">
        <f t="shared" si="21"/>
        <v>OK</v>
      </c>
      <c r="R193" t="str">
        <f t="shared" si="24"/>
        <v>Keep</v>
      </c>
    </row>
    <row r="194" spans="1:18" ht="15">
      <c r="A194" s="23" t="s">
        <v>206</v>
      </c>
      <c r="B194" s="24" t="s">
        <v>7</v>
      </c>
      <c r="C194" s="24" t="s">
        <v>172</v>
      </c>
      <c r="D194" s="7">
        <v>110315</v>
      </c>
      <c r="E194" s="24" t="s">
        <v>9</v>
      </c>
      <c r="F194" s="11" t="str">
        <f t="shared" si="17"/>
        <v>OK</v>
      </c>
      <c r="G194" s="11" t="str">
        <f>IF(COUNTIFS($A:$A,A194,$E:E,E194)&gt;1,"NOK","OK")</f>
        <v>OK</v>
      </c>
      <c r="H194" s="11" t="str">
        <f t="shared" si="18"/>
        <v>OK</v>
      </c>
      <c r="I194" s="11" t="str">
        <f t="shared" si="19"/>
        <v>OK</v>
      </c>
      <c r="J194" s="11" t="str">
        <f t="shared" si="20"/>
        <v>OK</v>
      </c>
      <c r="K194" s="11" t="str">
        <f t="shared" si="21"/>
        <v>OK</v>
      </c>
      <c r="R194" t="str">
        <f t="shared" si="24"/>
        <v>Keep</v>
      </c>
    </row>
    <row r="195" spans="1:18" ht="15">
      <c r="A195" s="23" t="s">
        <v>207</v>
      </c>
      <c r="B195" s="24" t="s">
        <v>7</v>
      </c>
      <c r="C195" s="24" t="s">
        <v>172</v>
      </c>
      <c r="D195" s="7">
        <v>2656</v>
      </c>
      <c r="E195" s="24" t="s">
        <v>9</v>
      </c>
      <c r="F195" s="11" t="str">
        <f t="shared" si="17"/>
        <v>OK</v>
      </c>
      <c r="G195" s="11" t="str">
        <f>IF(COUNTIFS($A:$A,A195,$E:E,E195)&gt;1,"NOK","OK")</f>
        <v>OK</v>
      </c>
      <c r="H195" s="11" t="str">
        <f t="shared" si="18"/>
        <v>OK</v>
      </c>
      <c r="I195" s="11" t="str">
        <f t="shared" si="19"/>
        <v>OK</v>
      </c>
      <c r="J195" s="11" t="str">
        <f t="shared" si="20"/>
        <v>OK</v>
      </c>
      <c r="K195" s="11" t="str">
        <f t="shared" si="21"/>
        <v>OK</v>
      </c>
      <c r="R195" t="str">
        <f t="shared" si="24"/>
        <v>Keep</v>
      </c>
    </row>
    <row r="196" spans="1:18" ht="15">
      <c r="A196" s="23" t="s">
        <v>208</v>
      </c>
      <c r="B196" s="24" t="s">
        <v>25</v>
      </c>
      <c r="C196" s="24" t="s">
        <v>172</v>
      </c>
      <c r="D196" s="7">
        <v>249424</v>
      </c>
      <c r="E196" s="24" t="s">
        <v>12</v>
      </c>
      <c r="F196" s="11" t="str">
        <f t="shared" ref="F196:F259" si="25">IF(COUNTA($A196:$E196),"OK","NOK")</f>
        <v>OK</v>
      </c>
      <c r="G196" s="11" t="str">
        <f>IF(COUNTIFS($A:$A,A196,$E:E,E196)&gt;1,"NOK","OK")</f>
        <v>OK</v>
      </c>
      <c r="H196" s="11" t="str">
        <f t="shared" ref="H196:H259" si="26">IF(OR(B196="Corporate", B196="Emerging", B196="Enterprise", B196="Small Business"),"OK","NOK")</f>
        <v>OK</v>
      </c>
      <c r="I196" s="11" t="str">
        <f t="shared" ref="I196:I259" si="27">IF(OR(C196="ANZ", C196="DACH", C196="France", C196="North America", C196="UK"),"OK","NOK")</f>
        <v>OK</v>
      </c>
      <c r="J196" s="11" t="str">
        <f t="shared" ref="J196:J259" si="28">IF(OR(D196&lt;=0, D196&gt;300000),"NOK","OK")</f>
        <v>OK</v>
      </c>
      <c r="K196" s="11" t="str">
        <f t="shared" ref="K196:K259" si="29">IF(OR(E196="FY23", E196="FY24", E196="FY25"),"OK","NOK")</f>
        <v>OK</v>
      </c>
      <c r="R196" t="str">
        <f t="shared" si="24"/>
        <v>Keep</v>
      </c>
    </row>
    <row r="197" spans="1:18" ht="15">
      <c r="A197" s="23" t="s">
        <v>209</v>
      </c>
      <c r="B197" s="24" t="s">
        <v>7</v>
      </c>
      <c r="C197" s="24" t="s">
        <v>172</v>
      </c>
      <c r="D197" s="7">
        <v>218662</v>
      </c>
      <c r="E197" s="24" t="s">
        <v>12</v>
      </c>
      <c r="F197" s="11" t="str">
        <f t="shared" si="25"/>
        <v>OK</v>
      </c>
      <c r="G197" s="11" t="str">
        <f>IF(COUNTIFS($A:$A,A197,$E:E,E197)&gt;1,"NOK","OK")</f>
        <v>OK</v>
      </c>
      <c r="H197" s="11" t="str">
        <f t="shared" si="26"/>
        <v>OK</v>
      </c>
      <c r="I197" s="11" t="str">
        <f t="shared" si="27"/>
        <v>OK</v>
      </c>
      <c r="J197" s="11" t="str">
        <f t="shared" si="28"/>
        <v>OK</v>
      </c>
      <c r="K197" s="11" t="str">
        <f t="shared" si="29"/>
        <v>OK</v>
      </c>
      <c r="R197" t="str">
        <f t="shared" si="24"/>
        <v>Keep</v>
      </c>
    </row>
    <row r="198" spans="1:18" ht="15">
      <c r="A198" s="23" t="s">
        <v>210</v>
      </c>
      <c r="B198" s="24" t="s">
        <v>11</v>
      </c>
      <c r="C198" s="24" t="s">
        <v>172</v>
      </c>
      <c r="D198" s="7">
        <v>247086</v>
      </c>
      <c r="E198" s="24" t="s">
        <v>12</v>
      </c>
      <c r="F198" s="11" t="str">
        <f t="shared" si="25"/>
        <v>OK</v>
      </c>
      <c r="G198" s="11" t="str">
        <f>IF(COUNTIFS($A:$A,A198,$E:E,E198)&gt;1,"NOK","OK")</f>
        <v>OK</v>
      </c>
      <c r="H198" s="11" t="str">
        <f t="shared" si="26"/>
        <v>OK</v>
      </c>
      <c r="I198" s="11" t="str">
        <f t="shared" si="27"/>
        <v>OK</v>
      </c>
      <c r="J198" s="11" t="str">
        <f t="shared" si="28"/>
        <v>OK</v>
      </c>
      <c r="K198" s="11" t="str">
        <f t="shared" si="29"/>
        <v>OK</v>
      </c>
      <c r="R198" t="str">
        <f t="shared" si="24"/>
        <v>Keep</v>
      </c>
    </row>
    <row r="199" spans="1:18" ht="15">
      <c r="A199" s="23" t="s">
        <v>211</v>
      </c>
      <c r="B199" s="24" t="s">
        <v>11</v>
      </c>
      <c r="C199" s="24" t="s">
        <v>172</v>
      </c>
      <c r="D199" s="7">
        <v>161037</v>
      </c>
      <c r="E199" s="24" t="s">
        <v>16</v>
      </c>
      <c r="F199" s="11" t="str">
        <f t="shared" si="25"/>
        <v>OK</v>
      </c>
      <c r="G199" s="11" t="str">
        <f>IF(COUNTIFS($A:$A,A199,$E:E,E199)&gt;1,"NOK","OK")</f>
        <v>OK</v>
      </c>
      <c r="H199" s="11" t="str">
        <f t="shared" si="26"/>
        <v>OK</v>
      </c>
      <c r="I199" s="11" t="str">
        <f t="shared" si="27"/>
        <v>OK</v>
      </c>
      <c r="J199" s="11" t="str">
        <f t="shared" si="28"/>
        <v>OK</v>
      </c>
      <c r="K199" s="11" t="str">
        <f t="shared" si="29"/>
        <v>OK</v>
      </c>
      <c r="R199" t="str">
        <f t="shared" si="24"/>
        <v>Keep</v>
      </c>
    </row>
    <row r="200" spans="1:18" ht="15">
      <c r="A200" s="23" t="s">
        <v>212</v>
      </c>
      <c r="B200" s="24" t="s">
        <v>7</v>
      </c>
      <c r="C200" s="24" t="s">
        <v>172</v>
      </c>
      <c r="D200" s="7">
        <v>97480</v>
      </c>
      <c r="E200" s="24" t="s">
        <v>16</v>
      </c>
      <c r="F200" s="11" t="str">
        <f t="shared" si="25"/>
        <v>OK</v>
      </c>
      <c r="G200" s="11" t="str">
        <f>IF(COUNTIFS($A:$A,A200,$E:E,E200)&gt;1,"NOK","OK")</f>
        <v>OK</v>
      </c>
      <c r="H200" s="11" t="str">
        <f t="shared" si="26"/>
        <v>OK</v>
      </c>
      <c r="I200" s="11" t="str">
        <f t="shared" si="27"/>
        <v>OK</v>
      </c>
      <c r="J200" s="11" t="str">
        <f t="shared" si="28"/>
        <v>OK</v>
      </c>
      <c r="K200" s="11" t="str">
        <f t="shared" si="29"/>
        <v>OK</v>
      </c>
      <c r="R200" t="str">
        <f t="shared" si="24"/>
        <v>Keep</v>
      </c>
    </row>
    <row r="201" spans="1:18" ht="15">
      <c r="A201" s="23" t="s">
        <v>213</v>
      </c>
      <c r="B201" s="24" t="s">
        <v>7</v>
      </c>
      <c r="C201" s="24" t="s">
        <v>172</v>
      </c>
      <c r="D201" s="7">
        <v>230332</v>
      </c>
      <c r="E201" s="24" t="s">
        <v>16</v>
      </c>
      <c r="F201" s="11" t="str">
        <f t="shared" si="25"/>
        <v>OK</v>
      </c>
      <c r="G201" s="11" t="str">
        <f>IF(COUNTIFS($A:$A,A201,$E:E,E201)&gt;1,"NOK","OK")</f>
        <v>OK</v>
      </c>
      <c r="H201" s="11" t="str">
        <f t="shared" si="26"/>
        <v>OK</v>
      </c>
      <c r="I201" s="11" t="str">
        <f t="shared" si="27"/>
        <v>OK</v>
      </c>
      <c r="J201" s="11" t="str">
        <f t="shared" si="28"/>
        <v>OK</v>
      </c>
      <c r="K201" s="11" t="str">
        <f t="shared" si="29"/>
        <v>OK</v>
      </c>
      <c r="R201" t="str">
        <f t="shared" si="24"/>
        <v>Keep</v>
      </c>
    </row>
    <row r="202" spans="1:18" ht="15">
      <c r="A202" s="23" t="s">
        <v>214</v>
      </c>
      <c r="B202" s="24" t="s">
        <v>11</v>
      </c>
      <c r="C202" s="24" t="s">
        <v>172</v>
      </c>
      <c r="D202" s="7">
        <v>96578</v>
      </c>
      <c r="E202" s="24" t="s">
        <v>16</v>
      </c>
      <c r="F202" s="11" t="str">
        <f t="shared" si="25"/>
        <v>OK</v>
      </c>
      <c r="G202" s="11" t="str">
        <f>IF(COUNTIFS($A:$A,A202,$E:E,E202)&gt;1,"NOK","OK")</f>
        <v>OK</v>
      </c>
      <c r="H202" s="11" t="str">
        <f t="shared" si="26"/>
        <v>OK</v>
      </c>
      <c r="I202" s="11" t="str">
        <f t="shared" si="27"/>
        <v>OK</v>
      </c>
      <c r="J202" s="11" t="str">
        <f t="shared" si="28"/>
        <v>OK</v>
      </c>
      <c r="K202" s="11" t="str">
        <f t="shared" si="29"/>
        <v>OK</v>
      </c>
      <c r="R202" t="str">
        <f t="shared" si="24"/>
        <v>Keep</v>
      </c>
    </row>
    <row r="203" spans="1:18" ht="15">
      <c r="A203" s="23" t="s">
        <v>215</v>
      </c>
      <c r="B203" s="24" t="s">
        <v>11</v>
      </c>
      <c r="C203" s="24" t="s">
        <v>172</v>
      </c>
      <c r="D203" s="7">
        <v>189383</v>
      </c>
      <c r="E203" s="24" t="s">
        <v>16</v>
      </c>
      <c r="F203" s="11" t="str">
        <f t="shared" si="25"/>
        <v>OK</v>
      </c>
      <c r="G203" s="11" t="str">
        <f>IF(COUNTIFS($A:$A,A203,$E:E,E203)&gt;1,"NOK","OK")</f>
        <v>OK</v>
      </c>
      <c r="H203" s="11" t="str">
        <f t="shared" si="26"/>
        <v>OK</v>
      </c>
      <c r="I203" s="11" t="str">
        <f t="shared" si="27"/>
        <v>OK</v>
      </c>
      <c r="J203" s="11" t="str">
        <f t="shared" si="28"/>
        <v>OK</v>
      </c>
      <c r="K203" s="11" t="str">
        <f t="shared" si="29"/>
        <v>OK</v>
      </c>
      <c r="R203" t="str">
        <f t="shared" si="24"/>
        <v>Keep</v>
      </c>
    </row>
    <row r="204" spans="1:18" ht="15">
      <c r="A204" s="23" t="s">
        <v>216</v>
      </c>
      <c r="B204" s="24" t="s">
        <v>7</v>
      </c>
      <c r="C204" s="24" t="s">
        <v>172</v>
      </c>
      <c r="D204" s="7">
        <v>75968</v>
      </c>
      <c r="E204" s="24" t="s">
        <v>16</v>
      </c>
      <c r="F204" s="11" t="str">
        <f t="shared" si="25"/>
        <v>OK</v>
      </c>
      <c r="G204" s="11" t="str">
        <f>IF(COUNTIFS($A:$A,A204,$E:E,E204)&gt;1,"NOK","OK")</f>
        <v>OK</v>
      </c>
      <c r="H204" s="11" t="str">
        <f t="shared" si="26"/>
        <v>OK</v>
      </c>
      <c r="I204" s="11" t="str">
        <f t="shared" si="27"/>
        <v>OK</v>
      </c>
      <c r="J204" s="11" t="str">
        <f t="shared" si="28"/>
        <v>OK</v>
      </c>
      <c r="K204" s="11" t="str">
        <f t="shared" si="29"/>
        <v>OK</v>
      </c>
      <c r="R204" t="str">
        <f t="shared" si="24"/>
        <v>Keep</v>
      </c>
    </row>
    <row r="205" spans="1:18" ht="15">
      <c r="A205" s="23" t="s">
        <v>217</v>
      </c>
      <c r="B205" s="24" t="s">
        <v>25</v>
      </c>
      <c r="C205" s="24" t="s">
        <v>172</v>
      </c>
      <c r="D205" s="7">
        <v>278815</v>
      </c>
      <c r="E205" s="24" t="s">
        <v>16</v>
      </c>
      <c r="F205" s="11" t="str">
        <f t="shared" si="25"/>
        <v>OK</v>
      </c>
      <c r="G205" s="11" t="str">
        <f>IF(COUNTIFS($A:$A,A205,$E:E,E205)&gt;1,"NOK","OK")</f>
        <v>OK</v>
      </c>
      <c r="H205" s="11" t="str">
        <f t="shared" si="26"/>
        <v>OK</v>
      </c>
      <c r="I205" s="11" t="str">
        <f t="shared" si="27"/>
        <v>OK</v>
      </c>
      <c r="J205" s="11" t="str">
        <f t="shared" si="28"/>
        <v>OK</v>
      </c>
      <c r="K205" s="11" t="str">
        <f t="shared" si="29"/>
        <v>OK</v>
      </c>
      <c r="R205" t="str">
        <f t="shared" si="24"/>
        <v>Keep</v>
      </c>
    </row>
    <row r="206" spans="1:18" ht="15">
      <c r="A206" s="23" t="s">
        <v>218</v>
      </c>
      <c r="B206" s="24" t="s">
        <v>25</v>
      </c>
      <c r="C206" s="24" t="s">
        <v>172</v>
      </c>
      <c r="D206" s="7">
        <v>212128</v>
      </c>
      <c r="E206" s="24" t="s">
        <v>9</v>
      </c>
      <c r="F206" s="11" t="str">
        <f t="shared" si="25"/>
        <v>OK</v>
      </c>
      <c r="G206" s="11" t="str">
        <f>IF(COUNTIFS($A:$A,A206,$E:E,E206)&gt;1,"NOK","OK")</f>
        <v>OK</v>
      </c>
      <c r="H206" s="11" t="str">
        <f t="shared" si="26"/>
        <v>OK</v>
      </c>
      <c r="I206" s="11" t="str">
        <f t="shared" si="27"/>
        <v>OK</v>
      </c>
      <c r="J206" s="11" t="str">
        <f t="shared" si="28"/>
        <v>OK</v>
      </c>
      <c r="K206" s="11" t="str">
        <f t="shared" si="29"/>
        <v>OK</v>
      </c>
      <c r="R206" t="str">
        <f t="shared" si="24"/>
        <v>Keep</v>
      </c>
    </row>
    <row r="207" spans="1:18" ht="15">
      <c r="A207" s="23" t="s">
        <v>219</v>
      </c>
      <c r="B207" s="24" t="s">
        <v>11</v>
      </c>
      <c r="C207" s="24" t="s">
        <v>172</v>
      </c>
      <c r="D207" s="7">
        <v>257729</v>
      </c>
      <c r="E207" s="24" t="s">
        <v>16</v>
      </c>
      <c r="F207" s="11" t="str">
        <f t="shared" si="25"/>
        <v>OK</v>
      </c>
      <c r="G207" s="11" t="str">
        <f>IF(COUNTIFS($A:$A,A207,$E:E,E207)&gt;1,"NOK","OK")</f>
        <v>OK</v>
      </c>
      <c r="H207" s="11" t="str">
        <f t="shared" si="26"/>
        <v>OK</v>
      </c>
      <c r="I207" s="11" t="str">
        <f t="shared" si="27"/>
        <v>OK</v>
      </c>
      <c r="J207" s="11" t="str">
        <f t="shared" si="28"/>
        <v>OK</v>
      </c>
      <c r="K207" s="11" t="str">
        <f t="shared" si="29"/>
        <v>OK</v>
      </c>
      <c r="R207" t="str">
        <f t="shared" si="24"/>
        <v>Keep</v>
      </c>
    </row>
    <row r="208" spans="1:18" ht="15">
      <c r="A208" s="23" t="s">
        <v>220</v>
      </c>
      <c r="B208" s="24" t="s">
        <v>7</v>
      </c>
      <c r="C208" s="24" t="s">
        <v>172</v>
      </c>
      <c r="D208" s="7">
        <v>208225</v>
      </c>
      <c r="E208" s="24" t="s">
        <v>9</v>
      </c>
      <c r="F208" s="11" t="str">
        <f t="shared" si="25"/>
        <v>OK</v>
      </c>
      <c r="G208" s="11" t="str">
        <f>IF(COUNTIFS($A:$A,A208,$E:E,E208)&gt;1,"NOK","OK")</f>
        <v>OK</v>
      </c>
      <c r="H208" s="11" t="str">
        <f t="shared" si="26"/>
        <v>OK</v>
      </c>
      <c r="I208" s="11" t="str">
        <f t="shared" si="27"/>
        <v>OK</v>
      </c>
      <c r="J208" s="11" t="str">
        <f t="shared" si="28"/>
        <v>OK</v>
      </c>
      <c r="K208" s="11" t="str">
        <f t="shared" si="29"/>
        <v>OK</v>
      </c>
      <c r="R208" t="str">
        <f t="shared" si="24"/>
        <v>Keep</v>
      </c>
    </row>
    <row r="209" spans="1:18" ht="15">
      <c r="A209" s="23" t="s">
        <v>221</v>
      </c>
      <c r="B209" s="24" t="s">
        <v>7</v>
      </c>
      <c r="C209" s="24" t="s">
        <v>172</v>
      </c>
      <c r="D209" s="7">
        <v>288162</v>
      </c>
      <c r="E209" s="24" t="s">
        <v>16</v>
      </c>
      <c r="F209" s="11" t="str">
        <f t="shared" si="25"/>
        <v>OK</v>
      </c>
      <c r="G209" s="11" t="str">
        <f>IF(COUNTIFS($A:$A,A209,$E:E,E209)&gt;1,"NOK","OK")</f>
        <v>OK</v>
      </c>
      <c r="H209" s="11" t="str">
        <f t="shared" si="26"/>
        <v>OK</v>
      </c>
      <c r="I209" s="11" t="str">
        <f t="shared" si="27"/>
        <v>OK</v>
      </c>
      <c r="J209" s="11" t="str">
        <f t="shared" si="28"/>
        <v>OK</v>
      </c>
      <c r="K209" s="11" t="str">
        <f t="shared" si="29"/>
        <v>OK</v>
      </c>
      <c r="R209" t="str">
        <f t="shared" si="24"/>
        <v>Keep</v>
      </c>
    </row>
    <row r="210" spans="1:18" ht="15">
      <c r="A210" s="23" t="s">
        <v>222</v>
      </c>
      <c r="B210" s="24" t="s">
        <v>7</v>
      </c>
      <c r="C210" s="24" t="s">
        <v>172</v>
      </c>
      <c r="D210" s="7">
        <v>275603</v>
      </c>
      <c r="E210" s="24" t="s">
        <v>12</v>
      </c>
      <c r="F210" s="11" t="str">
        <f t="shared" si="25"/>
        <v>OK</v>
      </c>
      <c r="G210" s="11" t="str">
        <f>IF(COUNTIFS($A:$A,A210,$E:E,E210)&gt;1,"NOK","OK")</f>
        <v>OK</v>
      </c>
      <c r="H210" s="11" t="str">
        <f t="shared" si="26"/>
        <v>OK</v>
      </c>
      <c r="I210" s="11" t="str">
        <f t="shared" si="27"/>
        <v>OK</v>
      </c>
      <c r="J210" s="11" t="str">
        <f t="shared" si="28"/>
        <v>OK</v>
      </c>
      <c r="K210" s="11" t="str">
        <f t="shared" si="29"/>
        <v>OK</v>
      </c>
      <c r="R210" t="str">
        <f t="shared" si="24"/>
        <v>Keep</v>
      </c>
    </row>
    <row r="211" spans="1:18" ht="15">
      <c r="A211" s="23" t="s">
        <v>223</v>
      </c>
      <c r="B211" s="24" t="s">
        <v>7</v>
      </c>
      <c r="C211" s="24" t="s">
        <v>172</v>
      </c>
      <c r="D211" s="7">
        <v>74002</v>
      </c>
      <c r="E211" s="24" t="s">
        <v>9</v>
      </c>
      <c r="F211" s="11" t="str">
        <f t="shared" si="25"/>
        <v>OK</v>
      </c>
      <c r="G211" s="11" t="str">
        <f>IF(COUNTIFS($A:$A,A211,$E:E,E211)&gt;1,"NOK","OK")</f>
        <v>OK</v>
      </c>
      <c r="H211" s="11" t="str">
        <f t="shared" si="26"/>
        <v>OK</v>
      </c>
      <c r="I211" s="11" t="str">
        <f t="shared" si="27"/>
        <v>OK</v>
      </c>
      <c r="J211" s="11" t="str">
        <f t="shared" si="28"/>
        <v>OK</v>
      </c>
      <c r="K211" s="11" t="str">
        <f t="shared" si="29"/>
        <v>OK</v>
      </c>
      <c r="R211" t="str">
        <f t="shared" si="24"/>
        <v>Keep</v>
      </c>
    </row>
    <row r="212" spans="1:18" ht="15">
      <c r="A212" s="23" t="s">
        <v>224</v>
      </c>
      <c r="B212" s="24" t="s">
        <v>7</v>
      </c>
      <c r="C212" s="24" t="s">
        <v>172</v>
      </c>
      <c r="D212" s="7">
        <v>149988</v>
      </c>
      <c r="E212" s="24" t="s">
        <v>16</v>
      </c>
      <c r="F212" s="11" t="str">
        <f t="shared" si="25"/>
        <v>OK</v>
      </c>
      <c r="G212" s="11" t="str">
        <f>IF(COUNTIFS($A:$A,A212,$E:E,E212)&gt;1,"NOK","OK")</f>
        <v>OK</v>
      </c>
      <c r="H212" s="11" t="str">
        <f t="shared" si="26"/>
        <v>OK</v>
      </c>
      <c r="I212" s="11" t="str">
        <f t="shared" si="27"/>
        <v>OK</v>
      </c>
      <c r="J212" s="11" t="str">
        <f t="shared" si="28"/>
        <v>OK</v>
      </c>
      <c r="K212" s="11" t="str">
        <f t="shared" si="29"/>
        <v>OK</v>
      </c>
      <c r="R212" t="str">
        <f t="shared" si="24"/>
        <v>Keep</v>
      </c>
    </row>
    <row r="213" spans="1:18" ht="15">
      <c r="A213" s="23" t="s">
        <v>225</v>
      </c>
      <c r="B213" s="24" t="s">
        <v>7</v>
      </c>
      <c r="C213" s="24" t="s">
        <v>172</v>
      </c>
      <c r="D213" s="7">
        <v>163267</v>
      </c>
      <c r="E213" s="24" t="s">
        <v>16</v>
      </c>
      <c r="F213" s="11" t="str">
        <f t="shared" si="25"/>
        <v>OK</v>
      </c>
      <c r="G213" s="11" t="str">
        <f>IF(COUNTIFS($A:$A,A213,$E:E,E213)&gt;1,"NOK","OK")</f>
        <v>OK</v>
      </c>
      <c r="H213" s="11" t="str">
        <f t="shared" si="26"/>
        <v>OK</v>
      </c>
      <c r="I213" s="11" t="str">
        <f t="shared" si="27"/>
        <v>OK</v>
      </c>
      <c r="J213" s="11" t="str">
        <f t="shared" si="28"/>
        <v>OK</v>
      </c>
      <c r="K213" s="11" t="str">
        <f t="shared" si="29"/>
        <v>OK</v>
      </c>
      <c r="R213" t="str">
        <f t="shared" si="24"/>
        <v>Keep</v>
      </c>
    </row>
    <row r="214" spans="1:18" ht="15">
      <c r="A214" s="23" t="s">
        <v>226</v>
      </c>
      <c r="B214" s="24" t="s">
        <v>7</v>
      </c>
      <c r="C214" s="24" t="s">
        <v>172</v>
      </c>
      <c r="D214" s="7">
        <v>234925</v>
      </c>
      <c r="E214" s="24" t="s">
        <v>12</v>
      </c>
      <c r="F214" s="11" t="str">
        <f t="shared" si="25"/>
        <v>OK</v>
      </c>
      <c r="G214" s="11" t="str">
        <f>IF(COUNTIFS($A:$A,A214,$E:E,E214)&gt;1,"NOK","OK")</f>
        <v>OK</v>
      </c>
      <c r="H214" s="11" t="str">
        <f t="shared" si="26"/>
        <v>OK</v>
      </c>
      <c r="I214" s="11" t="str">
        <f t="shared" si="27"/>
        <v>OK</v>
      </c>
      <c r="J214" s="11" t="str">
        <f t="shared" si="28"/>
        <v>OK</v>
      </c>
      <c r="K214" s="11" t="str">
        <f t="shared" si="29"/>
        <v>OK</v>
      </c>
      <c r="R214" t="str">
        <f t="shared" si="24"/>
        <v>Keep</v>
      </c>
    </row>
    <row r="215" spans="1:18" ht="15">
      <c r="A215" s="23" t="s">
        <v>227</v>
      </c>
      <c r="B215" s="24" t="s">
        <v>7</v>
      </c>
      <c r="C215" s="24" t="s">
        <v>172</v>
      </c>
      <c r="D215" s="7">
        <v>213582</v>
      </c>
      <c r="E215" s="24" t="s">
        <v>9</v>
      </c>
      <c r="F215" s="11" t="str">
        <f t="shared" si="25"/>
        <v>OK</v>
      </c>
      <c r="G215" s="11" t="str">
        <f>IF(COUNTIFS($A:$A,A215,$E:E,E215)&gt;1,"NOK","OK")</f>
        <v>OK</v>
      </c>
      <c r="H215" s="11" t="str">
        <f t="shared" si="26"/>
        <v>OK</v>
      </c>
      <c r="I215" s="11" t="str">
        <f t="shared" si="27"/>
        <v>OK</v>
      </c>
      <c r="J215" s="11" t="str">
        <f t="shared" si="28"/>
        <v>OK</v>
      </c>
      <c r="K215" s="11" t="str">
        <f t="shared" si="29"/>
        <v>OK</v>
      </c>
      <c r="R215" t="str">
        <f t="shared" si="24"/>
        <v>Keep</v>
      </c>
    </row>
    <row r="216" spans="1:18" ht="15">
      <c r="A216" s="23" t="s">
        <v>228</v>
      </c>
      <c r="B216" s="24" t="s">
        <v>11</v>
      </c>
      <c r="C216" s="24" t="s">
        <v>172</v>
      </c>
      <c r="D216" s="7">
        <v>17263</v>
      </c>
      <c r="E216" s="24" t="s">
        <v>16</v>
      </c>
      <c r="F216" s="11" t="str">
        <f t="shared" si="25"/>
        <v>OK</v>
      </c>
      <c r="G216" s="11" t="str">
        <f>IF(COUNTIFS($A:$A,A216,$E:E,E216)&gt;1,"NOK","OK")</f>
        <v>OK</v>
      </c>
      <c r="H216" s="11" t="str">
        <f t="shared" si="26"/>
        <v>OK</v>
      </c>
      <c r="I216" s="11" t="str">
        <f t="shared" si="27"/>
        <v>OK</v>
      </c>
      <c r="J216" s="11" t="str">
        <f t="shared" si="28"/>
        <v>OK</v>
      </c>
      <c r="K216" s="11" t="str">
        <f t="shared" si="29"/>
        <v>OK</v>
      </c>
      <c r="R216" t="str">
        <f t="shared" si="24"/>
        <v>Keep</v>
      </c>
    </row>
    <row r="217" spans="1:18" ht="15">
      <c r="A217" s="23" t="s">
        <v>229</v>
      </c>
      <c r="B217" s="24" t="s">
        <v>7</v>
      </c>
      <c r="C217" s="24" t="s">
        <v>172</v>
      </c>
      <c r="D217" s="7">
        <v>1945</v>
      </c>
      <c r="E217" s="24" t="s">
        <v>16</v>
      </c>
      <c r="F217" s="11" t="str">
        <f t="shared" si="25"/>
        <v>OK</v>
      </c>
      <c r="G217" s="11" t="str">
        <f>IF(COUNTIFS($A:$A,A217,$E:E,E217)&gt;1,"NOK","OK")</f>
        <v>OK</v>
      </c>
      <c r="H217" s="11" t="str">
        <f t="shared" si="26"/>
        <v>OK</v>
      </c>
      <c r="I217" s="11" t="str">
        <f t="shared" si="27"/>
        <v>OK</v>
      </c>
      <c r="J217" s="11" t="str">
        <f t="shared" si="28"/>
        <v>OK</v>
      </c>
      <c r="K217" s="11" t="str">
        <f t="shared" si="29"/>
        <v>OK</v>
      </c>
      <c r="R217" t="str">
        <f t="shared" si="24"/>
        <v>Keep</v>
      </c>
    </row>
    <row r="218" spans="1:18" ht="15">
      <c r="A218" s="23" t="s">
        <v>230</v>
      </c>
      <c r="B218" s="24" t="s">
        <v>11</v>
      </c>
      <c r="C218" s="24" t="s">
        <v>172</v>
      </c>
      <c r="D218" s="7">
        <v>240269</v>
      </c>
      <c r="E218" s="24" t="s">
        <v>16</v>
      </c>
      <c r="F218" s="11" t="str">
        <f t="shared" si="25"/>
        <v>OK</v>
      </c>
      <c r="G218" s="11" t="str">
        <f>IF(COUNTIFS($A:$A,A218,$E:E,E218)&gt;1,"NOK","OK")</f>
        <v>OK</v>
      </c>
      <c r="H218" s="11" t="str">
        <f t="shared" si="26"/>
        <v>OK</v>
      </c>
      <c r="I218" s="11" t="str">
        <f t="shared" si="27"/>
        <v>OK</v>
      </c>
      <c r="J218" s="11" t="str">
        <f t="shared" si="28"/>
        <v>OK</v>
      </c>
      <c r="K218" s="11" t="str">
        <f t="shared" si="29"/>
        <v>OK</v>
      </c>
      <c r="R218" t="str">
        <f t="shared" si="24"/>
        <v>Keep</v>
      </c>
    </row>
    <row r="219" spans="1:18" ht="15">
      <c r="A219" s="23" t="s">
        <v>231</v>
      </c>
      <c r="B219" s="24" t="s">
        <v>11</v>
      </c>
      <c r="C219" s="24" t="s">
        <v>172</v>
      </c>
      <c r="D219" s="7">
        <v>214819</v>
      </c>
      <c r="E219" s="24" t="s">
        <v>16</v>
      </c>
      <c r="F219" s="11" t="str">
        <f t="shared" si="25"/>
        <v>OK</v>
      </c>
      <c r="G219" s="11" t="str">
        <f>IF(COUNTIFS($A:$A,A219,$E:E,E219)&gt;1,"NOK","OK")</f>
        <v>OK</v>
      </c>
      <c r="H219" s="11" t="str">
        <f t="shared" si="26"/>
        <v>OK</v>
      </c>
      <c r="I219" s="11" t="str">
        <f t="shared" si="27"/>
        <v>OK</v>
      </c>
      <c r="J219" s="11" t="str">
        <f t="shared" si="28"/>
        <v>OK</v>
      </c>
      <c r="K219" s="11" t="str">
        <f t="shared" si="29"/>
        <v>OK</v>
      </c>
      <c r="R219" t="str">
        <f t="shared" si="24"/>
        <v>Keep</v>
      </c>
    </row>
    <row r="220" spans="1:18" ht="15">
      <c r="A220" s="23" t="s">
        <v>232</v>
      </c>
      <c r="B220" s="24" t="s">
        <v>25</v>
      </c>
      <c r="C220" s="24" t="s">
        <v>172</v>
      </c>
      <c r="D220" s="7">
        <v>66292</v>
      </c>
      <c r="E220" s="24" t="s">
        <v>9</v>
      </c>
      <c r="F220" s="11" t="str">
        <f t="shared" si="25"/>
        <v>OK</v>
      </c>
      <c r="G220" s="11" t="str">
        <f>IF(COUNTIFS($A:$A,A220,$E:E,E220)&gt;1,"NOK","OK")</f>
        <v>OK</v>
      </c>
      <c r="H220" s="11" t="str">
        <f t="shared" si="26"/>
        <v>OK</v>
      </c>
      <c r="I220" s="11" t="str">
        <f t="shared" si="27"/>
        <v>OK</v>
      </c>
      <c r="J220" s="11" t="str">
        <f t="shared" si="28"/>
        <v>OK</v>
      </c>
      <c r="K220" s="11" t="str">
        <f t="shared" si="29"/>
        <v>OK</v>
      </c>
      <c r="R220" t="str">
        <f t="shared" si="24"/>
        <v>Keep</v>
      </c>
    </row>
    <row r="221" spans="1:18" ht="15">
      <c r="A221" s="23" t="s">
        <v>233</v>
      </c>
      <c r="B221" s="24" t="s">
        <v>11</v>
      </c>
      <c r="C221" s="24" t="s">
        <v>172</v>
      </c>
      <c r="D221" s="7">
        <v>227793</v>
      </c>
      <c r="E221" s="24" t="s">
        <v>9</v>
      </c>
      <c r="F221" s="11" t="str">
        <f t="shared" si="25"/>
        <v>OK</v>
      </c>
      <c r="G221" s="11" t="str">
        <f>IF(COUNTIFS($A:$A,A221,$E:E,E221)&gt;1,"NOK","OK")</f>
        <v>OK</v>
      </c>
      <c r="H221" s="11" t="str">
        <f t="shared" si="26"/>
        <v>OK</v>
      </c>
      <c r="I221" s="11" t="str">
        <f t="shared" si="27"/>
        <v>OK</v>
      </c>
      <c r="J221" s="11" t="str">
        <f t="shared" si="28"/>
        <v>OK</v>
      </c>
      <c r="K221" s="11" t="str">
        <f t="shared" si="29"/>
        <v>OK</v>
      </c>
      <c r="R221" t="str">
        <f t="shared" si="24"/>
        <v>Keep</v>
      </c>
    </row>
    <row r="222" spans="1:18" ht="15">
      <c r="A222" s="23" t="s">
        <v>234</v>
      </c>
      <c r="B222" s="24" t="s">
        <v>11</v>
      </c>
      <c r="C222" s="24" t="s">
        <v>172</v>
      </c>
      <c r="D222" s="7">
        <v>128318</v>
      </c>
      <c r="E222" s="24" t="s">
        <v>16</v>
      </c>
      <c r="F222" s="11" t="str">
        <f t="shared" si="25"/>
        <v>OK</v>
      </c>
      <c r="G222" s="11" t="str">
        <f>IF(COUNTIFS($A:$A,A222,$E:E,E222)&gt;1,"NOK","OK")</f>
        <v>OK</v>
      </c>
      <c r="H222" s="11" t="str">
        <f t="shared" si="26"/>
        <v>OK</v>
      </c>
      <c r="I222" s="11" t="str">
        <f t="shared" si="27"/>
        <v>OK</v>
      </c>
      <c r="J222" s="11" t="str">
        <f t="shared" si="28"/>
        <v>OK</v>
      </c>
      <c r="K222" s="11" t="str">
        <f t="shared" si="29"/>
        <v>OK</v>
      </c>
      <c r="R222" t="str">
        <f t="shared" si="24"/>
        <v>Keep</v>
      </c>
    </row>
    <row r="223" spans="1:18" ht="15">
      <c r="A223" s="23" t="s">
        <v>235</v>
      </c>
      <c r="B223" s="24" t="s">
        <v>11</v>
      </c>
      <c r="C223" s="24" t="s">
        <v>172</v>
      </c>
      <c r="D223" s="7">
        <v>55848</v>
      </c>
      <c r="E223" s="24" t="s">
        <v>12</v>
      </c>
      <c r="F223" s="11" t="str">
        <f t="shared" si="25"/>
        <v>OK</v>
      </c>
      <c r="G223" s="11" t="str">
        <f>IF(COUNTIFS($A:$A,A223,$E:E,E223)&gt;1,"NOK","OK")</f>
        <v>OK</v>
      </c>
      <c r="H223" s="11" t="str">
        <f t="shared" si="26"/>
        <v>OK</v>
      </c>
      <c r="I223" s="11" t="str">
        <f t="shared" si="27"/>
        <v>OK</v>
      </c>
      <c r="J223" s="11" t="str">
        <f t="shared" si="28"/>
        <v>OK</v>
      </c>
      <c r="K223" s="11" t="str">
        <f t="shared" si="29"/>
        <v>OK</v>
      </c>
      <c r="R223" t="str">
        <f t="shared" si="24"/>
        <v>Keep</v>
      </c>
    </row>
    <row r="224" spans="1:18" ht="15">
      <c r="A224" s="23" t="s">
        <v>236</v>
      </c>
      <c r="B224" s="24" t="s">
        <v>237</v>
      </c>
      <c r="C224" s="24" t="s">
        <v>172</v>
      </c>
      <c r="D224" s="7">
        <v>47208</v>
      </c>
      <c r="E224" s="24" t="s">
        <v>16</v>
      </c>
      <c r="F224" s="11" t="str">
        <f t="shared" si="25"/>
        <v>OK</v>
      </c>
      <c r="G224" s="11" t="str">
        <f>IF(COUNTIFS($A:$A,A224,$E:E,E224)&gt;1,"NOK","OK")</f>
        <v>OK</v>
      </c>
      <c r="H224" s="11" t="str">
        <f t="shared" si="26"/>
        <v>OK</v>
      </c>
      <c r="I224" s="11" t="str">
        <f t="shared" si="27"/>
        <v>OK</v>
      </c>
      <c r="J224" s="11" t="str">
        <f t="shared" si="28"/>
        <v>OK</v>
      </c>
      <c r="K224" s="11" t="str">
        <f t="shared" si="29"/>
        <v>OK</v>
      </c>
      <c r="R224" t="str">
        <f t="shared" si="24"/>
        <v>Keep</v>
      </c>
    </row>
    <row r="225" spans="1:18" ht="15">
      <c r="A225" s="23" t="s">
        <v>238</v>
      </c>
      <c r="B225" s="24" t="s">
        <v>25</v>
      </c>
      <c r="C225" s="24" t="s">
        <v>172</v>
      </c>
      <c r="D225" s="7">
        <v>16915</v>
      </c>
      <c r="E225" s="24" t="s">
        <v>12</v>
      </c>
      <c r="F225" s="11" t="str">
        <f t="shared" si="25"/>
        <v>OK</v>
      </c>
      <c r="G225" s="11" t="str">
        <f>IF(COUNTIFS($A:$A,A225,$E:E,E225)&gt;1,"NOK","OK")</f>
        <v>OK</v>
      </c>
      <c r="H225" s="11" t="str">
        <f t="shared" si="26"/>
        <v>OK</v>
      </c>
      <c r="I225" s="11" t="str">
        <f t="shared" si="27"/>
        <v>OK</v>
      </c>
      <c r="J225" s="11" t="str">
        <f t="shared" si="28"/>
        <v>OK</v>
      </c>
      <c r="K225" s="11" t="str">
        <f t="shared" si="29"/>
        <v>OK</v>
      </c>
      <c r="R225" t="str">
        <f t="shared" si="24"/>
        <v>Keep</v>
      </c>
    </row>
    <row r="226" spans="1:18" ht="15">
      <c r="A226" s="23" t="s">
        <v>239</v>
      </c>
      <c r="B226" s="24" t="s">
        <v>7</v>
      </c>
      <c r="C226" s="24" t="s">
        <v>172</v>
      </c>
      <c r="D226" s="7">
        <v>16372</v>
      </c>
      <c r="E226" s="24" t="s">
        <v>12</v>
      </c>
      <c r="F226" s="11" t="str">
        <f t="shared" si="25"/>
        <v>OK</v>
      </c>
      <c r="G226" s="11" t="str">
        <f>IF(COUNTIFS($A:$A,A226,$E:E,E226)&gt;1,"NOK","OK")</f>
        <v>OK</v>
      </c>
      <c r="H226" s="11" t="str">
        <f t="shared" si="26"/>
        <v>OK</v>
      </c>
      <c r="I226" s="11" t="str">
        <f t="shared" si="27"/>
        <v>OK</v>
      </c>
      <c r="J226" s="11" t="str">
        <f t="shared" si="28"/>
        <v>OK</v>
      </c>
      <c r="K226" s="11" t="str">
        <f t="shared" si="29"/>
        <v>OK</v>
      </c>
      <c r="R226" t="str">
        <f t="shared" si="24"/>
        <v>Keep</v>
      </c>
    </row>
    <row r="227" spans="1:18" ht="15">
      <c r="A227" s="23" t="s">
        <v>240</v>
      </c>
      <c r="B227" s="24" t="s">
        <v>7</v>
      </c>
      <c r="C227" s="24" t="s">
        <v>172</v>
      </c>
      <c r="D227" s="7">
        <v>180176</v>
      </c>
      <c r="E227" s="24" t="s">
        <v>9</v>
      </c>
      <c r="F227" s="11" t="str">
        <f t="shared" si="25"/>
        <v>OK</v>
      </c>
      <c r="G227" s="11" t="str">
        <f>IF(COUNTIFS($A:$A,A227,$E:E,E227)&gt;1,"NOK","OK")</f>
        <v>OK</v>
      </c>
      <c r="H227" s="11" t="str">
        <f t="shared" si="26"/>
        <v>OK</v>
      </c>
      <c r="I227" s="11" t="str">
        <f t="shared" si="27"/>
        <v>OK</v>
      </c>
      <c r="J227" s="11" t="str">
        <f t="shared" si="28"/>
        <v>OK</v>
      </c>
      <c r="K227" s="11" t="str">
        <f t="shared" si="29"/>
        <v>OK</v>
      </c>
      <c r="R227" t="str">
        <f t="shared" si="24"/>
        <v>Keep</v>
      </c>
    </row>
    <row r="228" spans="1:18" ht="15">
      <c r="A228" s="23" t="s">
        <v>241</v>
      </c>
      <c r="B228" s="24" t="s">
        <v>7</v>
      </c>
      <c r="C228" s="24" t="s">
        <v>172</v>
      </c>
      <c r="D228" s="7">
        <v>188825</v>
      </c>
      <c r="E228" s="24" t="s">
        <v>16</v>
      </c>
      <c r="F228" s="11" t="str">
        <f t="shared" si="25"/>
        <v>OK</v>
      </c>
      <c r="G228" s="11" t="str">
        <f>IF(COUNTIFS($A:$A,A228,$E:E,E228)&gt;1,"NOK","OK")</f>
        <v>OK</v>
      </c>
      <c r="H228" s="11" t="str">
        <f t="shared" si="26"/>
        <v>OK</v>
      </c>
      <c r="I228" s="11" t="str">
        <f t="shared" si="27"/>
        <v>OK</v>
      </c>
      <c r="J228" s="11" t="str">
        <f t="shared" si="28"/>
        <v>OK</v>
      </c>
      <c r="K228" s="11" t="str">
        <f t="shared" si="29"/>
        <v>OK</v>
      </c>
      <c r="R228" t="str">
        <f t="shared" si="24"/>
        <v>Keep</v>
      </c>
    </row>
    <row r="229" spans="1:18" ht="15">
      <c r="A229" s="23" t="s">
        <v>242</v>
      </c>
      <c r="B229" s="24" t="s">
        <v>11</v>
      </c>
      <c r="C229" s="24" t="s">
        <v>172</v>
      </c>
      <c r="D229" s="7">
        <v>204725</v>
      </c>
      <c r="E229" s="24" t="s">
        <v>9</v>
      </c>
      <c r="F229" s="11" t="str">
        <f t="shared" si="25"/>
        <v>OK</v>
      </c>
      <c r="G229" s="11" t="str">
        <f>IF(COUNTIFS($A:$A,A229,$E:E,E229)&gt;1,"NOK","OK")</f>
        <v>OK</v>
      </c>
      <c r="H229" s="11" t="str">
        <f t="shared" si="26"/>
        <v>OK</v>
      </c>
      <c r="I229" s="11" t="str">
        <f t="shared" si="27"/>
        <v>OK</v>
      </c>
      <c r="J229" s="11" t="str">
        <f t="shared" si="28"/>
        <v>OK</v>
      </c>
      <c r="K229" s="11" t="str">
        <f t="shared" si="29"/>
        <v>OK</v>
      </c>
      <c r="R229" t="str">
        <f t="shared" si="24"/>
        <v>Keep</v>
      </c>
    </row>
    <row r="230" spans="1:18" ht="15">
      <c r="A230" s="23" t="s">
        <v>243</v>
      </c>
      <c r="B230" s="24" t="s">
        <v>7</v>
      </c>
      <c r="C230" s="24" t="s">
        <v>172</v>
      </c>
      <c r="D230" s="7">
        <v>2368</v>
      </c>
      <c r="E230" s="24" t="s">
        <v>9</v>
      </c>
      <c r="F230" s="11" t="str">
        <f t="shared" si="25"/>
        <v>OK</v>
      </c>
      <c r="G230" s="11" t="str">
        <f>IF(COUNTIFS($A:$A,A230,$E:E,E230)&gt;1,"NOK","OK")</f>
        <v>OK</v>
      </c>
      <c r="H230" s="11" t="str">
        <f t="shared" si="26"/>
        <v>OK</v>
      </c>
      <c r="I230" s="11" t="str">
        <f t="shared" si="27"/>
        <v>OK</v>
      </c>
      <c r="J230" s="11" t="str">
        <f t="shared" si="28"/>
        <v>OK</v>
      </c>
      <c r="K230" s="11" t="str">
        <f t="shared" si="29"/>
        <v>OK</v>
      </c>
      <c r="R230" t="str">
        <f t="shared" si="24"/>
        <v>Keep</v>
      </c>
    </row>
    <row r="231" spans="1:18" ht="15">
      <c r="A231" s="23" t="s">
        <v>244</v>
      </c>
      <c r="B231" s="24" t="s">
        <v>237</v>
      </c>
      <c r="C231" s="24" t="s">
        <v>172</v>
      </c>
      <c r="D231" s="7">
        <v>187708</v>
      </c>
      <c r="E231" s="24" t="s">
        <v>12</v>
      </c>
      <c r="F231" s="11" t="str">
        <f t="shared" si="25"/>
        <v>OK</v>
      </c>
      <c r="G231" s="11" t="str">
        <f>IF(COUNTIFS($A:$A,A231,$E:E,E231)&gt;1,"NOK","OK")</f>
        <v>OK</v>
      </c>
      <c r="H231" s="11" t="str">
        <f t="shared" si="26"/>
        <v>OK</v>
      </c>
      <c r="I231" s="11" t="str">
        <f t="shared" si="27"/>
        <v>OK</v>
      </c>
      <c r="J231" s="11" t="str">
        <f t="shared" si="28"/>
        <v>OK</v>
      </c>
      <c r="K231" s="11" t="str">
        <f t="shared" si="29"/>
        <v>OK</v>
      </c>
      <c r="R231" t="str">
        <f t="shared" si="24"/>
        <v>Keep</v>
      </c>
    </row>
    <row r="232" spans="1:18" ht="15">
      <c r="A232" s="23" t="s">
        <v>245</v>
      </c>
      <c r="B232" s="24" t="s">
        <v>11</v>
      </c>
      <c r="C232" s="24" t="s">
        <v>172</v>
      </c>
      <c r="D232" s="7">
        <v>279735</v>
      </c>
      <c r="E232" s="24" t="s">
        <v>16</v>
      </c>
      <c r="F232" s="11" t="str">
        <f t="shared" si="25"/>
        <v>OK</v>
      </c>
      <c r="G232" s="11" t="str">
        <f>IF(COUNTIFS($A:$A,A232,$E:E,E232)&gt;1,"NOK","OK")</f>
        <v>OK</v>
      </c>
      <c r="H232" s="11" t="str">
        <f t="shared" si="26"/>
        <v>OK</v>
      </c>
      <c r="I232" s="11" t="str">
        <f t="shared" si="27"/>
        <v>OK</v>
      </c>
      <c r="J232" s="11" t="str">
        <f t="shared" si="28"/>
        <v>OK</v>
      </c>
      <c r="K232" s="11" t="str">
        <f t="shared" si="29"/>
        <v>OK</v>
      </c>
      <c r="R232" t="str">
        <f t="shared" si="24"/>
        <v>Keep</v>
      </c>
    </row>
    <row r="233" spans="1:18" ht="15">
      <c r="A233" s="23" t="s">
        <v>246</v>
      </c>
      <c r="B233" s="24" t="s">
        <v>7</v>
      </c>
      <c r="C233" s="24" t="s">
        <v>172</v>
      </c>
      <c r="D233" s="7">
        <v>119102</v>
      </c>
      <c r="E233" s="24" t="s">
        <v>9</v>
      </c>
      <c r="F233" s="11" t="str">
        <f t="shared" si="25"/>
        <v>OK</v>
      </c>
      <c r="G233" s="11" t="str">
        <f>IF(COUNTIFS($A:$A,A233,$E:E,E233)&gt;1,"NOK","OK")</f>
        <v>OK</v>
      </c>
      <c r="H233" s="11" t="str">
        <f t="shared" si="26"/>
        <v>OK</v>
      </c>
      <c r="I233" s="11" t="str">
        <f t="shared" si="27"/>
        <v>OK</v>
      </c>
      <c r="J233" s="11" t="str">
        <f t="shared" si="28"/>
        <v>OK</v>
      </c>
      <c r="K233" s="11" t="str">
        <f t="shared" si="29"/>
        <v>OK</v>
      </c>
      <c r="R233" t="str">
        <f t="shared" si="24"/>
        <v>Keep</v>
      </c>
    </row>
    <row r="234" spans="1:18" ht="15">
      <c r="A234" s="23" t="s">
        <v>247</v>
      </c>
      <c r="B234" s="24" t="s">
        <v>7</v>
      </c>
      <c r="C234" s="24" t="s">
        <v>172</v>
      </c>
      <c r="D234" s="7">
        <v>123039</v>
      </c>
      <c r="E234" s="24" t="s">
        <v>12</v>
      </c>
      <c r="F234" s="11" t="str">
        <f t="shared" si="25"/>
        <v>OK</v>
      </c>
      <c r="G234" s="11" t="str">
        <f>IF(COUNTIFS($A:$A,A234,$E:E,E234)&gt;1,"NOK","OK")</f>
        <v>OK</v>
      </c>
      <c r="H234" s="11" t="str">
        <f t="shared" si="26"/>
        <v>OK</v>
      </c>
      <c r="I234" s="11" t="str">
        <f t="shared" si="27"/>
        <v>OK</v>
      </c>
      <c r="J234" s="11" t="str">
        <f t="shared" si="28"/>
        <v>OK</v>
      </c>
      <c r="K234" s="11" t="str">
        <f t="shared" si="29"/>
        <v>OK</v>
      </c>
      <c r="R234" t="str">
        <f t="shared" si="24"/>
        <v>Keep</v>
      </c>
    </row>
    <row r="235" spans="1:18" ht="15">
      <c r="A235" s="23" t="s">
        <v>248</v>
      </c>
      <c r="B235" s="24" t="s">
        <v>7</v>
      </c>
      <c r="C235" s="24" t="s">
        <v>172</v>
      </c>
      <c r="D235" s="7">
        <v>253873</v>
      </c>
      <c r="E235" s="24" t="s">
        <v>16</v>
      </c>
      <c r="F235" s="11" t="str">
        <f t="shared" si="25"/>
        <v>OK</v>
      </c>
      <c r="G235" s="11" t="str">
        <f>IF(COUNTIFS($A:$A,A235,$E:E,E235)&gt;1,"NOK","OK")</f>
        <v>OK</v>
      </c>
      <c r="H235" s="11" t="str">
        <f t="shared" si="26"/>
        <v>OK</v>
      </c>
      <c r="I235" s="11" t="str">
        <f t="shared" si="27"/>
        <v>OK</v>
      </c>
      <c r="J235" s="11" t="str">
        <f t="shared" si="28"/>
        <v>OK</v>
      </c>
      <c r="K235" s="11" t="str">
        <f t="shared" si="29"/>
        <v>OK</v>
      </c>
      <c r="R235" t="str">
        <f t="shared" si="24"/>
        <v>Keep</v>
      </c>
    </row>
    <row r="236" spans="1:18" ht="15">
      <c r="A236" s="23" t="s">
        <v>249</v>
      </c>
      <c r="B236" s="24" t="s">
        <v>7</v>
      </c>
      <c r="C236" s="24" t="s">
        <v>172</v>
      </c>
      <c r="D236" s="7">
        <v>90430</v>
      </c>
      <c r="E236" s="24" t="s">
        <v>9</v>
      </c>
      <c r="F236" s="11" t="str">
        <f t="shared" si="25"/>
        <v>OK</v>
      </c>
      <c r="G236" s="11" t="str">
        <f>IF(COUNTIFS($A:$A,A236,$E:E,E236)&gt;1,"NOK","OK")</f>
        <v>OK</v>
      </c>
      <c r="H236" s="11" t="str">
        <f t="shared" si="26"/>
        <v>OK</v>
      </c>
      <c r="I236" s="11" t="str">
        <f t="shared" si="27"/>
        <v>OK</v>
      </c>
      <c r="J236" s="11" t="str">
        <f t="shared" si="28"/>
        <v>OK</v>
      </c>
      <c r="K236" s="11" t="str">
        <f t="shared" si="29"/>
        <v>OK</v>
      </c>
      <c r="R236" t="str">
        <f t="shared" si="24"/>
        <v>Keep</v>
      </c>
    </row>
    <row r="237" spans="1:18" ht="15">
      <c r="A237" s="23" t="s">
        <v>250</v>
      </c>
      <c r="B237" s="24" t="s">
        <v>7</v>
      </c>
      <c r="C237" s="24" t="s">
        <v>172</v>
      </c>
      <c r="D237" s="7">
        <v>93141</v>
      </c>
      <c r="E237" s="24" t="s">
        <v>12</v>
      </c>
      <c r="F237" s="11" t="str">
        <f t="shared" si="25"/>
        <v>OK</v>
      </c>
      <c r="G237" s="11" t="str">
        <f>IF(COUNTIFS($A:$A,A237,$E:E,E237)&gt;1,"NOK","OK")</f>
        <v>OK</v>
      </c>
      <c r="H237" s="11" t="str">
        <f t="shared" si="26"/>
        <v>OK</v>
      </c>
      <c r="I237" s="11" t="str">
        <f t="shared" si="27"/>
        <v>OK</v>
      </c>
      <c r="J237" s="11" t="str">
        <f t="shared" si="28"/>
        <v>OK</v>
      </c>
      <c r="K237" s="11" t="str">
        <f t="shared" si="29"/>
        <v>OK</v>
      </c>
      <c r="R237" t="str">
        <f t="shared" si="24"/>
        <v>Keep</v>
      </c>
    </row>
    <row r="238" spans="1:18" ht="15">
      <c r="A238" s="23" t="s">
        <v>251</v>
      </c>
      <c r="B238" s="24" t="s">
        <v>25</v>
      </c>
      <c r="C238" s="24" t="s">
        <v>172</v>
      </c>
      <c r="D238" s="7">
        <v>200448</v>
      </c>
      <c r="E238" s="24" t="s">
        <v>12</v>
      </c>
      <c r="F238" s="11" t="str">
        <f t="shared" si="25"/>
        <v>OK</v>
      </c>
      <c r="G238" s="11" t="str">
        <f>IF(COUNTIFS($A:$A,A238,$E:E,E238)&gt;1,"NOK","OK")</f>
        <v>OK</v>
      </c>
      <c r="H238" s="11" t="str">
        <f t="shared" si="26"/>
        <v>OK</v>
      </c>
      <c r="I238" s="11" t="str">
        <f t="shared" si="27"/>
        <v>OK</v>
      </c>
      <c r="J238" s="11" t="str">
        <f t="shared" si="28"/>
        <v>OK</v>
      </c>
      <c r="K238" s="11" t="str">
        <f t="shared" si="29"/>
        <v>OK</v>
      </c>
      <c r="R238" t="str">
        <f t="shared" si="24"/>
        <v>Keep</v>
      </c>
    </row>
    <row r="239" spans="1:18" ht="15">
      <c r="A239" s="23" t="s">
        <v>252</v>
      </c>
      <c r="B239" s="24" t="s">
        <v>7</v>
      </c>
      <c r="C239" s="24" t="s">
        <v>172</v>
      </c>
      <c r="D239" s="7">
        <v>282326</v>
      </c>
      <c r="E239" s="24" t="s">
        <v>16</v>
      </c>
      <c r="F239" s="11" t="str">
        <f t="shared" si="25"/>
        <v>OK</v>
      </c>
      <c r="G239" s="11" t="str">
        <f>IF(COUNTIFS($A:$A,A239,$E:E,E239)&gt;1,"NOK","OK")</f>
        <v>OK</v>
      </c>
      <c r="H239" s="11" t="str">
        <f t="shared" si="26"/>
        <v>OK</v>
      </c>
      <c r="I239" s="11" t="str">
        <f t="shared" si="27"/>
        <v>OK</v>
      </c>
      <c r="J239" s="11" t="str">
        <f t="shared" si="28"/>
        <v>OK</v>
      </c>
      <c r="K239" s="11" t="str">
        <f t="shared" si="29"/>
        <v>OK</v>
      </c>
      <c r="R239" t="str">
        <f t="shared" ref="R239:R245" si="30">IF(COUNTIF(F239:K239, "NOK") &gt; 0, "Hide", "Keep")</f>
        <v>Keep</v>
      </c>
    </row>
    <row r="240" spans="1:18" ht="15">
      <c r="A240" s="23" t="s">
        <v>253</v>
      </c>
      <c r="B240" s="24" t="s">
        <v>7</v>
      </c>
      <c r="C240" s="24" t="s">
        <v>172</v>
      </c>
      <c r="D240" s="7">
        <v>32701</v>
      </c>
      <c r="E240" s="24" t="s">
        <v>9</v>
      </c>
      <c r="F240" s="11" t="str">
        <f t="shared" si="25"/>
        <v>OK</v>
      </c>
      <c r="G240" s="11" t="str">
        <f>IF(COUNTIFS($A:$A,A240,$E:E,E240)&gt;1,"NOK","OK")</f>
        <v>OK</v>
      </c>
      <c r="H240" s="11" t="str">
        <f t="shared" si="26"/>
        <v>OK</v>
      </c>
      <c r="I240" s="11" t="str">
        <f t="shared" si="27"/>
        <v>OK</v>
      </c>
      <c r="J240" s="11" t="str">
        <f t="shared" si="28"/>
        <v>OK</v>
      </c>
      <c r="K240" s="11" t="str">
        <f t="shared" si="29"/>
        <v>OK</v>
      </c>
      <c r="R240" t="str">
        <f t="shared" si="30"/>
        <v>Keep</v>
      </c>
    </row>
    <row r="241" spans="1:18" ht="15">
      <c r="A241" s="23" t="s">
        <v>254</v>
      </c>
      <c r="B241" s="24" t="s">
        <v>11</v>
      </c>
      <c r="C241" s="24" t="s">
        <v>172</v>
      </c>
      <c r="D241" s="7">
        <v>264505</v>
      </c>
      <c r="E241" s="24" t="s">
        <v>12</v>
      </c>
      <c r="F241" s="11" t="str">
        <f t="shared" si="25"/>
        <v>OK</v>
      </c>
      <c r="G241" s="11" t="str">
        <f>IF(COUNTIFS($A:$A,A241,$E:E,E241)&gt;1,"NOK","OK")</f>
        <v>OK</v>
      </c>
      <c r="H241" s="11" t="str">
        <f t="shared" si="26"/>
        <v>OK</v>
      </c>
      <c r="I241" s="11" t="str">
        <f t="shared" si="27"/>
        <v>OK</v>
      </c>
      <c r="J241" s="11" t="str">
        <f t="shared" si="28"/>
        <v>OK</v>
      </c>
      <c r="K241" s="11" t="str">
        <f t="shared" si="29"/>
        <v>OK</v>
      </c>
      <c r="R241" t="str">
        <f t="shared" si="30"/>
        <v>Keep</v>
      </c>
    </row>
    <row r="242" spans="1:18" ht="15">
      <c r="A242" s="23" t="s">
        <v>255</v>
      </c>
      <c r="B242" s="24" t="s">
        <v>11</v>
      </c>
      <c r="C242" s="24" t="s">
        <v>172</v>
      </c>
      <c r="D242" s="7">
        <v>207059</v>
      </c>
      <c r="E242" s="24" t="s">
        <v>9</v>
      </c>
      <c r="F242" s="11" t="str">
        <f t="shared" si="25"/>
        <v>OK</v>
      </c>
      <c r="G242" s="11" t="str">
        <f>IF(COUNTIFS($A:$A,A242,$E:E,E242)&gt;1,"NOK","OK")</f>
        <v>OK</v>
      </c>
      <c r="H242" s="11" t="str">
        <f t="shared" si="26"/>
        <v>OK</v>
      </c>
      <c r="I242" s="11" t="str">
        <f t="shared" si="27"/>
        <v>OK</v>
      </c>
      <c r="J242" s="11" t="str">
        <f t="shared" si="28"/>
        <v>OK</v>
      </c>
      <c r="K242" s="11" t="str">
        <f t="shared" si="29"/>
        <v>OK</v>
      </c>
      <c r="R242" t="str">
        <f t="shared" si="30"/>
        <v>Keep</v>
      </c>
    </row>
    <row r="243" spans="1:18" ht="15">
      <c r="A243" s="23" t="s">
        <v>256</v>
      </c>
      <c r="B243" s="24" t="s">
        <v>7</v>
      </c>
      <c r="C243" s="24" t="s">
        <v>172</v>
      </c>
      <c r="D243" s="7">
        <v>36526</v>
      </c>
      <c r="E243" s="24" t="s">
        <v>16</v>
      </c>
      <c r="F243" s="11" t="str">
        <f t="shared" si="25"/>
        <v>OK</v>
      </c>
      <c r="G243" s="11" t="str">
        <f>IF(COUNTIFS($A:$A,A243,$E:E,E243)&gt;1,"NOK","OK")</f>
        <v>OK</v>
      </c>
      <c r="H243" s="11" t="str">
        <f t="shared" si="26"/>
        <v>OK</v>
      </c>
      <c r="I243" s="11" t="str">
        <f t="shared" si="27"/>
        <v>OK</v>
      </c>
      <c r="J243" s="11" t="str">
        <f t="shared" si="28"/>
        <v>OK</v>
      </c>
      <c r="K243" s="11" t="str">
        <f t="shared" si="29"/>
        <v>OK</v>
      </c>
      <c r="R243" t="str">
        <f t="shared" si="30"/>
        <v>Keep</v>
      </c>
    </row>
    <row r="244" spans="1:18" ht="15">
      <c r="A244" s="23" t="s">
        <v>257</v>
      </c>
      <c r="B244" s="24" t="s">
        <v>7</v>
      </c>
      <c r="C244" s="24" t="s">
        <v>172</v>
      </c>
      <c r="D244" s="7">
        <v>175824</v>
      </c>
      <c r="E244" s="24" t="s">
        <v>16</v>
      </c>
      <c r="F244" s="11" t="str">
        <f t="shared" si="25"/>
        <v>OK</v>
      </c>
      <c r="G244" s="11" t="str">
        <f>IF(COUNTIFS($A:$A,A244,$E:E,E244)&gt;1,"NOK","OK")</f>
        <v>OK</v>
      </c>
      <c r="H244" s="11" t="str">
        <f t="shared" si="26"/>
        <v>OK</v>
      </c>
      <c r="I244" s="11" t="str">
        <f t="shared" si="27"/>
        <v>OK</v>
      </c>
      <c r="J244" s="11" t="str">
        <f t="shared" si="28"/>
        <v>OK</v>
      </c>
      <c r="K244" s="11" t="str">
        <f t="shared" si="29"/>
        <v>OK</v>
      </c>
      <c r="R244" t="str">
        <f t="shared" si="30"/>
        <v>Keep</v>
      </c>
    </row>
    <row r="245" spans="1:18" ht="15">
      <c r="A245" s="23" t="s">
        <v>257</v>
      </c>
      <c r="B245" s="24" t="s">
        <v>7</v>
      </c>
      <c r="C245" s="24" t="s">
        <v>172</v>
      </c>
      <c r="D245" s="7">
        <v>175824</v>
      </c>
      <c r="E245" s="24" t="s">
        <v>12</v>
      </c>
      <c r="F245" s="11" t="str">
        <f t="shared" si="25"/>
        <v>OK</v>
      </c>
      <c r="G245" s="11" t="str">
        <f>IF(COUNTIFS($A:$A,A245,$E:E,E245)&gt;1,"NOK","OK")</f>
        <v>NOK</v>
      </c>
      <c r="H245" s="11" t="str">
        <f t="shared" si="26"/>
        <v>OK</v>
      </c>
      <c r="I245" s="11" t="str">
        <f t="shared" si="27"/>
        <v>OK</v>
      </c>
      <c r="J245" s="11" t="str">
        <f t="shared" si="28"/>
        <v>OK</v>
      </c>
      <c r="K245" s="11" t="str">
        <f t="shared" si="29"/>
        <v>OK</v>
      </c>
      <c r="R245" t="str">
        <f t="shared" si="30"/>
        <v>Hide</v>
      </c>
    </row>
    <row r="246" spans="1:18" ht="15">
      <c r="A246" s="23" t="s">
        <v>257</v>
      </c>
      <c r="B246" s="24" t="s">
        <v>7</v>
      </c>
      <c r="C246" s="24" t="s">
        <v>172</v>
      </c>
      <c r="D246" s="7">
        <v>175824</v>
      </c>
      <c r="E246" s="24" t="s">
        <v>12</v>
      </c>
      <c r="F246" s="11" t="str">
        <f t="shared" si="25"/>
        <v>OK</v>
      </c>
      <c r="G246" s="11" t="str">
        <f>IF(COUNTIFS($A:$A,A246,$E:E,E246)&gt;1,"NOK","OK")</f>
        <v>NOK</v>
      </c>
      <c r="H246" s="11" t="str">
        <f t="shared" si="26"/>
        <v>OK</v>
      </c>
      <c r="I246" s="11" t="str">
        <f t="shared" si="27"/>
        <v>OK</v>
      </c>
      <c r="J246" s="11" t="str">
        <f t="shared" si="28"/>
        <v>OK</v>
      </c>
      <c r="K246" s="11" t="str">
        <f t="shared" si="29"/>
        <v>OK</v>
      </c>
      <c r="R246" t="str">
        <f t="shared" ref="R246:R247" si="31">IF(COUNTIF(F245:L245, "NOK") &gt; 0, "Hide", "Keep")</f>
        <v>Hide</v>
      </c>
    </row>
    <row r="247" spans="1:18" ht="15">
      <c r="A247" s="23" t="s">
        <v>258</v>
      </c>
      <c r="B247" s="24" t="s">
        <v>237</v>
      </c>
      <c r="C247" s="24" t="s">
        <v>172</v>
      </c>
      <c r="D247" s="7">
        <v>269104</v>
      </c>
      <c r="E247" s="24" t="s">
        <v>9</v>
      </c>
      <c r="F247" s="11" t="str">
        <f t="shared" si="25"/>
        <v>OK</v>
      </c>
      <c r="G247" s="11" t="str">
        <f>IF(COUNTIFS($A:$A,A247,$E:E,E247)&gt;1,"NOK","OK")</f>
        <v>OK</v>
      </c>
      <c r="H247" s="11" t="str">
        <f t="shared" si="26"/>
        <v>OK</v>
      </c>
      <c r="I247" s="11" t="str">
        <f t="shared" si="27"/>
        <v>OK</v>
      </c>
      <c r="J247" s="11" t="str">
        <f t="shared" si="28"/>
        <v>OK</v>
      </c>
      <c r="K247" s="11" t="str">
        <f t="shared" si="29"/>
        <v>OK</v>
      </c>
      <c r="R247" t="str">
        <f t="shared" si="31"/>
        <v>Hide</v>
      </c>
    </row>
    <row r="248" spans="1:18" ht="15">
      <c r="A248" s="23" t="s">
        <v>259</v>
      </c>
      <c r="B248" s="24" t="s">
        <v>11</v>
      </c>
      <c r="C248" s="24" t="s">
        <v>172</v>
      </c>
      <c r="D248" s="7">
        <v>201251</v>
      </c>
      <c r="E248" s="24" t="s">
        <v>12</v>
      </c>
      <c r="F248" s="11" t="str">
        <f t="shared" si="25"/>
        <v>OK</v>
      </c>
      <c r="G248" s="11" t="str">
        <f>IF(COUNTIFS($A:$A,A248,$E:E,E248)&gt;1,"NOK","OK")</f>
        <v>OK</v>
      </c>
      <c r="H248" s="11" t="str">
        <f t="shared" si="26"/>
        <v>OK</v>
      </c>
      <c r="I248" s="11" t="str">
        <f t="shared" si="27"/>
        <v>OK</v>
      </c>
      <c r="J248" s="11" t="str">
        <f t="shared" si="28"/>
        <v>OK</v>
      </c>
      <c r="K248" s="11" t="str">
        <f t="shared" si="29"/>
        <v>OK</v>
      </c>
      <c r="R248" t="str">
        <f t="shared" ref="R248:R311" si="32">IF(COUNTIF(F248:K248, "NOK") &gt; 0, "Hide", "Keep")</f>
        <v>Keep</v>
      </c>
    </row>
    <row r="249" spans="1:18" ht="15">
      <c r="A249" s="23" t="s">
        <v>260</v>
      </c>
      <c r="B249" s="24" t="s">
        <v>7</v>
      </c>
      <c r="C249" s="24" t="s">
        <v>172</v>
      </c>
      <c r="D249" s="7">
        <v>232042</v>
      </c>
      <c r="E249" s="24" t="s">
        <v>9</v>
      </c>
      <c r="F249" s="11" t="str">
        <f t="shared" si="25"/>
        <v>OK</v>
      </c>
      <c r="G249" s="11" t="str">
        <f>IF(COUNTIFS($A:$A,A249,$E:E,E249)&gt;1,"NOK","OK")</f>
        <v>OK</v>
      </c>
      <c r="H249" s="11" t="str">
        <f t="shared" si="26"/>
        <v>OK</v>
      </c>
      <c r="I249" s="11" t="str">
        <f t="shared" si="27"/>
        <v>OK</v>
      </c>
      <c r="J249" s="11" t="str">
        <f t="shared" si="28"/>
        <v>OK</v>
      </c>
      <c r="K249" s="11" t="str">
        <f t="shared" si="29"/>
        <v>OK</v>
      </c>
      <c r="R249" t="str">
        <f t="shared" si="32"/>
        <v>Keep</v>
      </c>
    </row>
    <row r="250" spans="1:18" ht="15">
      <c r="A250" s="23" t="s">
        <v>261</v>
      </c>
      <c r="B250" s="24" t="s">
        <v>11</v>
      </c>
      <c r="C250" s="24" t="s">
        <v>172</v>
      </c>
      <c r="D250" s="7">
        <v>34336</v>
      </c>
      <c r="E250" s="24" t="s">
        <v>12</v>
      </c>
      <c r="F250" s="11" t="str">
        <f t="shared" si="25"/>
        <v>OK</v>
      </c>
      <c r="G250" s="11" t="str">
        <f>IF(COUNTIFS($A:$A,A250,$E:E,E250)&gt;1,"NOK","OK")</f>
        <v>OK</v>
      </c>
      <c r="H250" s="11" t="str">
        <f t="shared" si="26"/>
        <v>OK</v>
      </c>
      <c r="I250" s="11" t="str">
        <f t="shared" si="27"/>
        <v>OK</v>
      </c>
      <c r="J250" s="11" t="str">
        <f t="shared" si="28"/>
        <v>OK</v>
      </c>
      <c r="K250" s="11" t="str">
        <f t="shared" si="29"/>
        <v>OK</v>
      </c>
      <c r="R250" t="str">
        <f t="shared" si="32"/>
        <v>Keep</v>
      </c>
    </row>
    <row r="251" spans="1:18" ht="15">
      <c r="A251" s="23" t="s">
        <v>262</v>
      </c>
      <c r="B251" s="24" t="s">
        <v>237</v>
      </c>
      <c r="C251" s="24" t="s">
        <v>172</v>
      </c>
      <c r="D251" s="7">
        <v>184371</v>
      </c>
      <c r="E251" s="24" t="s">
        <v>12</v>
      </c>
      <c r="F251" s="11" t="str">
        <f t="shared" si="25"/>
        <v>OK</v>
      </c>
      <c r="G251" s="11" t="str">
        <f>IF(COUNTIFS($A:$A,A251,$E:E,E251)&gt;1,"NOK","OK")</f>
        <v>OK</v>
      </c>
      <c r="H251" s="11" t="str">
        <f t="shared" si="26"/>
        <v>OK</v>
      </c>
      <c r="I251" s="11" t="str">
        <f t="shared" si="27"/>
        <v>OK</v>
      </c>
      <c r="J251" s="11" t="str">
        <f t="shared" si="28"/>
        <v>OK</v>
      </c>
      <c r="K251" s="11" t="str">
        <f t="shared" si="29"/>
        <v>OK</v>
      </c>
      <c r="R251" t="str">
        <f t="shared" si="32"/>
        <v>Keep</v>
      </c>
    </row>
    <row r="252" spans="1:18" ht="15">
      <c r="A252" s="23" t="s">
        <v>263</v>
      </c>
      <c r="B252" s="24" t="s">
        <v>7</v>
      </c>
      <c r="C252" s="24" t="s">
        <v>172</v>
      </c>
      <c r="D252" s="7">
        <v>128875</v>
      </c>
      <c r="E252" s="24" t="s">
        <v>12</v>
      </c>
      <c r="F252" s="11" t="str">
        <f t="shared" si="25"/>
        <v>OK</v>
      </c>
      <c r="G252" s="11" t="str">
        <f>IF(COUNTIFS($A:$A,A252,$E:E,E252)&gt;1,"NOK","OK")</f>
        <v>OK</v>
      </c>
      <c r="H252" s="11" t="str">
        <f t="shared" si="26"/>
        <v>OK</v>
      </c>
      <c r="I252" s="11" t="str">
        <f t="shared" si="27"/>
        <v>OK</v>
      </c>
      <c r="J252" s="11" t="str">
        <f t="shared" si="28"/>
        <v>OK</v>
      </c>
      <c r="K252" s="11" t="str">
        <f t="shared" si="29"/>
        <v>OK</v>
      </c>
      <c r="R252" t="str">
        <f t="shared" si="32"/>
        <v>Keep</v>
      </c>
    </row>
    <row r="253" spans="1:18" ht="15">
      <c r="A253" s="23" t="s">
        <v>264</v>
      </c>
      <c r="B253" s="24" t="s">
        <v>7</v>
      </c>
      <c r="C253" s="24" t="s">
        <v>172</v>
      </c>
      <c r="D253" s="7">
        <v>4980</v>
      </c>
      <c r="E253" s="24" t="s">
        <v>16</v>
      </c>
      <c r="F253" s="11" t="str">
        <f t="shared" si="25"/>
        <v>OK</v>
      </c>
      <c r="G253" s="11" t="str">
        <f>IF(COUNTIFS($A:$A,A253,$E:E,E253)&gt;1,"NOK","OK")</f>
        <v>OK</v>
      </c>
      <c r="H253" s="11" t="str">
        <f t="shared" si="26"/>
        <v>OK</v>
      </c>
      <c r="I253" s="11" t="str">
        <f t="shared" si="27"/>
        <v>OK</v>
      </c>
      <c r="J253" s="11" t="str">
        <f t="shared" si="28"/>
        <v>OK</v>
      </c>
      <c r="K253" s="11" t="str">
        <f t="shared" si="29"/>
        <v>OK</v>
      </c>
      <c r="R253" t="str">
        <f t="shared" si="32"/>
        <v>Keep</v>
      </c>
    </row>
    <row r="254" spans="1:18" ht="15">
      <c r="A254" s="23" t="s">
        <v>265</v>
      </c>
      <c r="B254" s="24" t="s">
        <v>237</v>
      </c>
      <c r="C254" s="24" t="s">
        <v>172</v>
      </c>
      <c r="D254" s="7">
        <v>109242</v>
      </c>
      <c r="E254" s="24" t="s">
        <v>12</v>
      </c>
      <c r="F254" s="11" t="str">
        <f t="shared" si="25"/>
        <v>OK</v>
      </c>
      <c r="G254" s="11" t="str">
        <f>IF(COUNTIFS($A:$A,A254,$E:E,E254)&gt;1,"NOK","OK")</f>
        <v>OK</v>
      </c>
      <c r="H254" s="11" t="str">
        <f t="shared" si="26"/>
        <v>OK</v>
      </c>
      <c r="I254" s="11" t="str">
        <f t="shared" si="27"/>
        <v>OK</v>
      </c>
      <c r="J254" s="11" t="str">
        <f t="shared" si="28"/>
        <v>OK</v>
      </c>
      <c r="K254" s="11" t="str">
        <f t="shared" si="29"/>
        <v>OK</v>
      </c>
      <c r="R254" t="str">
        <f t="shared" si="32"/>
        <v>Keep</v>
      </c>
    </row>
    <row r="255" spans="1:18" ht="15">
      <c r="A255" s="23" t="s">
        <v>266</v>
      </c>
      <c r="B255" s="24" t="s">
        <v>7</v>
      </c>
      <c r="C255" s="24" t="s">
        <v>172</v>
      </c>
      <c r="D255" s="7">
        <v>71828</v>
      </c>
      <c r="E255" s="24" t="s">
        <v>12</v>
      </c>
      <c r="F255" s="11" t="str">
        <f t="shared" si="25"/>
        <v>OK</v>
      </c>
      <c r="G255" s="11" t="str">
        <f>IF(COUNTIFS($A:$A,A255,$E:E,E255)&gt;1,"NOK","OK")</f>
        <v>OK</v>
      </c>
      <c r="H255" s="11" t="str">
        <f t="shared" si="26"/>
        <v>OK</v>
      </c>
      <c r="I255" s="11" t="str">
        <f t="shared" si="27"/>
        <v>OK</v>
      </c>
      <c r="J255" s="11" t="str">
        <f t="shared" si="28"/>
        <v>OK</v>
      </c>
      <c r="K255" s="11" t="str">
        <f t="shared" si="29"/>
        <v>OK</v>
      </c>
      <c r="R255" t="str">
        <f t="shared" si="32"/>
        <v>Keep</v>
      </c>
    </row>
    <row r="256" spans="1:18" ht="15">
      <c r="A256" s="23" t="s">
        <v>267</v>
      </c>
      <c r="B256" s="24" t="s">
        <v>7</v>
      </c>
      <c r="C256" s="24" t="s">
        <v>172</v>
      </c>
      <c r="D256" s="7">
        <v>251944</v>
      </c>
      <c r="E256" s="24" t="s">
        <v>16</v>
      </c>
      <c r="F256" s="11" t="str">
        <f t="shared" si="25"/>
        <v>OK</v>
      </c>
      <c r="G256" s="11" t="str">
        <f>IF(COUNTIFS($A:$A,A256,$E:E,E256)&gt;1,"NOK","OK")</f>
        <v>OK</v>
      </c>
      <c r="H256" s="11" t="str">
        <f t="shared" si="26"/>
        <v>OK</v>
      </c>
      <c r="I256" s="11" t="str">
        <f t="shared" si="27"/>
        <v>OK</v>
      </c>
      <c r="J256" s="11" t="str">
        <f t="shared" si="28"/>
        <v>OK</v>
      </c>
      <c r="K256" s="11" t="str">
        <f t="shared" si="29"/>
        <v>OK</v>
      </c>
      <c r="R256" t="str">
        <f t="shared" si="32"/>
        <v>Keep</v>
      </c>
    </row>
    <row r="257" spans="1:18" ht="15">
      <c r="A257" s="23" t="s">
        <v>268</v>
      </c>
      <c r="B257" s="24" t="s">
        <v>7</v>
      </c>
      <c r="C257" s="24" t="s">
        <v>172</v>
      </c>
      <c r="D257" s="7">
        <v>102282</v>
      </c>
      <c r="E257" s="24" t="s">
        <v>12</v>
      </c>
      <c r="F257" s="11" t="str">
        <f t="shared" si="25"/>
        <v>OK</v>
      </c>
      <c r="G257" s="11" t="str">
        <f>IF(COUNTIFS($A:$A,A257,$E:E,E257)&gt;1,"NOK","OK")</f>
        <v>OK</v>
      </c>
      <c r="H257" s="11" t="str">
        <f t="shared" si="26"/>
        <v>OK</v>
      </c>
      <c r="I257" s="11" t="str">
        <f t="shared" si="27"/>
        <v>OK</v>
      </c>
      <c r="J257" s="11" t="str">
        <f t="shared" si="28"/>
        <v>OK</v>
      </c>
      <c r="K257" s="11" t="str">
        <f t="shared" si="29"/>
        <v>OK</v>
      </c>
      <c r="R257" t="str">
        <f t="shared" si="32"/>
        <v>Keep</v>
      </c>
    </row>
    <row r="258" spans="1:18" ht="15">
      <c r="A258" s="23" t="s">
        <v>269</v>
      </c>
      <c r="B258" s="24" t="s">
        <v>7</v>
      </c>
      <c r="C258" s="24" t="s">
        <v>172</v>
      </c>
      <c r="D258" s="7">
        <v>203472</v>
      </c>
      <c r="E258" s="24" t="s">
        <v>9</v>
      </c>
      <c r="F258" s="11" t="str">
        <f t="shared" si="25"/>
        <v>OK</v>
      </c>
      <c r="G258" s="11" t="str">
        <f>IF(COUNTIFS($A:$A,A258,$E:E,E258)&gt;1,"NOK","OK")</f>
        <v>OK</v>
      </c>
      <c r="H258" s="11" t="str">
        <f t="shared" si="26"/>
        <v>OK</v>
      </c>
      <c r="I258" s="11" t="str">
        <f t="shared" si="27"/>
        <v>OK</v>
      </c>
      <c r="J258" s="11" t="str">
        <f t="shared" si="28"/>
        <v>OK</v>
      </c>
      <c r="K258" s="11" t="str">
        <f t="shared" si="29"/>
        <v>OK</v>
      </c>
      <c r="R258" t="str">
        <f t="shared" si="32"/>
        <v>Keep</v>
      </c>
    </row>
    <row r="259" spans="1:18" ht="15">
      <c r="A259" s="23" t="s">
        <v>270</v>
      </c>
      <c r="B259" s="24" t="s">
        <v>7</v>
      </c>
      <c r="C259" s="24" t="s">
        <v>172</v>
      </c>
      <c r="D259" s="7">
        <v>9967</v>
      </c>
      <c r="E259" s="24" t="s">
        <v>16</v>
      </c>
      <c r="F259" s="11" t="str">
        <f t="shared" si="25"/>
        <v>OK</v>
      </c>
      <c r="G259" s="11" t="str">
        <f>IF(COUNTIFS($A:$A,A259,$E:E,E259)&gt;1,"NOK","OK")</f>
        <v>OK</v>
      </c>
      <c r="H259" s="11" t="str">
        <f t="shared" si="26"/>
        <v>OK</v>
      </c>
      <c r="I259" s="11" t="str">
        <f t="shared" si="27"/>
        <v>OK</v>
      </c>
      <c r="J259" s="11" t="str">
        <f t="shared" si="28"/>
        <v>OK</v>
      </c>
      <c r="K259" s="11" t="str">
        <f t="shared" si="29"/>
        <v>OK</v>
      </c>
      <c r="R259" t="str">
        <f t="shared" si="32"/>
        <v>Keep</v>
      </c>
    </row>
    <row r="260" spans="1:18" ht="15">
      <c r="A260" s="23" t="s">
        <v>271</v>
      </c>
      <c r="B260" s="24" t="s">
        <v>11</v>
      </c>
      <c r="C260" s="24" t="s">
        <v>172</v>
      </c>
      <c r="D260" s="7">
        <v>252963</v>
      </c>
      <c r="E260" s="24" t="s">
        <v>9</v>
      </c>
      <c r="F260" s="11" t="str">
        <f t="shared" ref="F260:F323" si="33">IF(COUNTA($A260:$E260),"OK","NOK")</f>
        <v>OK</v>
      </c>
      <c r="G260" s="11" t="str">
        <f>IF(COUNTIFS($A:$A,A260,$E:E,E260)&gt;1,"NOK","OK")</f>
        <v>OK</v>
      </c>
      <c r="H260" s="11" t="str">
        <f t="shared" ref="H260:H323" si="34">IF(OR(B260="Corporate", B260="Emerging", B260="Enterprise", B260="Small Business"),"OK","NOK")</f>
        <v>OK</v>
      </c>
      <c r="I260" s="11" t="str">
        <f t="shared" ref="I260:I323" si="35">IF(OR(C260="ANZ", C260="DACH", C260="France", C260="North America", C260="UK"),"OK","NOK")</f>
        <v>OK</v>
      </c>
      <c r="J260" s="11" t="str">
        <f t="shared" ref="J260:J323" si="36">IF(OR(D260&lt;=0, D260&gt;300000),"NOK","OK")</f>
        <v>OK</v>
      </c>
      <c r="K260" s="11" t="str">
        <f t="shared" ref="K260:K323" si="37">IF(OR(E260="FY23", E260="FY24", E260="FY25"),"OK","NOK")</f>
        <v>OK</v>
      </c>
      <c r="R260" t="str">
        <f t="shared" si="32"/>
        <v>Keep</v>
      </c>
    </row>
    <row r="261" spans="1:18" ht="15">
      <c r="A261" s="23" t="s">
        <v>272</v>
      </c>
      <c r="B261" s="24" t="s">
        <v>7</v>
      </c>
      <c r="C261" s="24" t="s">
        <v>172</v>
      </c>
      <c r="D261" s="7">
        <v>166876</v>
      </c>
      <c r="E261" s="24" t="s">
        <v>16</v>
      </c>
      <c r="F261" s="11" t="str">
        <f t="shared" si="33"/>
        <v>OK</v>
      </c>
      <c r="G261" s="11" t="str">
        <f>IF(COUNTIFS($A:$A,A261,$E:E,E261)&gt;1,"NOK","OK")</f>
        <v>OK</v>
      </c>
      <c r="H261" s="11" t="str">
        <f t="shared" si="34"/>
        <v>OK</v>
      </c>
      <c r="I261" s="11" t="str">
        <f t="shared" si="35"/>
        <v>OK</v>
      </c>
      <c r="J261" s="11" t="str">
        <f t="shared" si="36"/>
        <v>OK</v>
      </c>
      <c r="K261" s="11" t="str">
        <f t="shared" si="37"/>
        <v>OK</v>
      </c>
      <c r="R261" t="str">
        <f t="shared" si="32"/>
        <v>Keep</v>
      </c>
    </row>
    <row r="262" spans="1:18" ht="15">
      <c r="A262" s="23" t="s">
        <v>273</v>
      </c>
      <c r="B262" s="24" t="s">
        <v>25</v>
      </c>
      <c r="C262" s="24" t="s">
        <v>172</v>
      </c>
      <c r="D262" s="7">
        <v>43258</v>
      </c>
      <c r="E262" s="24" t="s">
        <v>9</v>
      </c>
      <c r="F262" s="11" t="str">
        <f t="shared" si="33"/>
        <v>OK</v>
      </c>
      <c r="G262" s="11" t="str">
        <f>IF(COUNTIFS($A:$A,A262,$E:E,E262)&gt;1,"NOK","OK")</f>
        <v>OK</v>
      </c>
      <c r="H262" s="11" t="str">
        <f t="shared" si="34"/>
        <v>OK</v>
      </c>
      <c r="I262" s="11" t="str">
        <f t="shared" si="35"/>
        <v>OK</v>
      </c>
      <c r="J262" s="11" t="str">
        <f t="shared" si="36"/>
        <v>OK</v>
      </c>
      <c r="K262" s="11" t="str">
        <f t="shared" si="37"/>
        <v>OK</v>
      </c>
      <c r="R262" t="str">
        <f t="shared" si="32"/>
        <v>Keep</v>
      </c>
    </row>
    <row r="263" spans="1:18" ht="15">
      <c r="A263" s="23" t="s">
        <v>274</v>
      </c>
      <c r="B263" s="24" t="s">
        <v>7</v>
      </c>
      <c r="C263" s="24" t="s">
        <v>172</v>
      </c>
      <c r="D263" s="7">
        <v>196632</v>
      </c>
      <c r="E263" s="24" t="s">
        <v>12</v>
      </c>
      <c r="F263" s="11" t="str">
        <f t="shared" si="33"/>
        <v>OK</v>
      </c>
      <c r="G263" s="11" t="str">
        <f>IF(COUNTIFS($A:$A,A263,$E:E,E263)&gt;1,"NOK","OK")</f>
        <v>OK</v>
      </c>
      <c r="H263" s="11" t="str">
        <f t="shared" si="34"/>
        <v>OK</v>
      </c>
      <c r="I263" s="11" t="str">
        <f t="shared" si="35"/>
        <v>OK</v>
      </c>
      <c r="J263" s="11" t="str">
        <f t="shared" si="36"/>
        <v>OK</v>
      </c>
      <c r="K263" s="11" t="str">
        <f t="shared" si="37"/>
        <v>OK</v>
      </c>
      <c r="R263" t="str">
        <f t="shared" si="32"/>
        <v>Keep</v>
      </c>
    </row>
    <row r="264" spans="1:18" ht="15">
      <c r="A264" s="23" t="s">
        <v>275</v>
      </c>
      <c r="B264" s="24" t="s">
        <v>7</v>
      </c>
      <c r="C264" s="24" t="s">
        <v>172</v>
      </c>
      <c r="D264" s="7">
        <v>272701</v>
      </c>
      <c r="E264" s="24" t="s">
        <v>9</v>
      </c>
      <c r="F264" s="11" t="str">
        <f t="shared" si="33"/>
        <v>OK</v>
      </c>
      <c r="G264" s="11" t="str">
        <f>IF(COUNTIFS($A:$A,A264,$E:E,E264)&gt;1,"NOK","OK")</f>
        <v>OK</v>
      </c>
      <c r="H264" s="11" t="str">
        <f t="shared" si="34"/>
        <v>OK</v>
      </c>
      <c r="I264" s="11" t="str">
        <f t="shared" si="35"/>
        <v>OK</v>
      </c>
      <c r="J264" s="11" t="str">
        <f t="shared" si="36"/>
        <v>OK</v>
      </c>
      <c r="K264" s="11" t="str">
        <f t="shared" si="37"/>
        <v>OK</v>
      </c>
      <c r="R264" t="str">
        <f t="shared" si="32"/>
        <v>Keep</v>
      </c>
    </row>
    <row r="265" spans="1:18" ht="15">
      <c r="A265" s="23" t="s">
        <v>276</v>
      </c>
      <c r="B265" s="24" t="s">
        <v>7</v>
      </c>
      <c r="C265" s="24" t="s">
        <v>172</v>
      </c>
      <c r="D265" s="7">
        <v>14812</v>
      </c>
      <c r="E265" s="24" t="s">
        <v>9</v>
      </c>
      <c r="F265" s="11" t="str">
        <f t="shared" si="33"/>
        <v>OK</v>
      </c>
      <c r="G265" s="11" t="str">
        <f>IF(COUNTIFS($A:$A,A265,$E:E,E265)&gt;1,"NOK","OK")</f>
        <v>OK</v>
      </c>
      <c r="H265" s="11" t="str">
        <f t="shared" si="34"/>
        <v>OK</v>
      </c>
      <c r="I265" s="11" t="str">
        <f t="shared" si="35"/>
        <v>OK</v>
      </c>
      <c r="J265" s="11" t="str">
        <f t="shared" si="36"/>
        <v>OK</v>
      </c>
      <c r="K265" s="11" t="str">
        <f t="shared" si="37"/>
        <v>OK</v>
      </c>
      <c r="R265" t="str">
        <f t="shared" si="32"/>
        <v>Keep</v>
      </c>
    </row>
    <row r="266" spans="1:18" ht="15">
      <c r="A266" s="23" t="s">
        <v>277</v>
      </c>
      <c r="B266" s="24" t="s">
        <v>11</v>
      </c>
      <c r="C266" s="24" t="s">
        <v>172</v>
      </c>
      <c r="D266" s="7">
        <v>219811</v>
      </c>
      <c r="E266" s="24" t="s">
        <v>9</v>
      </c>
      <c r="F266" s="11" t="str">
        <f t="shared" si="33"/>
        <v>OK</v>
      </c>
      <c r="G266" s="11" t="str">
        <f>IF(COUNTIFS($A:$A,A266,$E:E,E266)&gt;1,"NOK","OK")</f>
        <v>OK</v>
      </c>
      <c r="H266" s="11" t="str">
        <f t="shared" si="34"/>
        <v>OK</v>
      </c>
      <c r="I266" s="11" t="str">
        <f t="shared" si="35"/>
        <v>OK</v>
      </c>
      <c r="J266" s="11" t="str">
        <f t="shared" si="36"/>
        <v>OK</v>
      </c>
      <c r="K266" s="11" t="str">
        <f t="shared" si="37"/>
        <v>OK</v>
      </c>
      <c r="R266" t="str">
        <f t="shared" si="32"/>
        <v>Keep</v>
      </c>
    </row>
    <row r="267" spans="1:18" ht="15">
      <c r="A267" s="23" t="s">
        <v>278</v>
      </c>
      <c r="B267" s="24" t="s">
        <v>7</v>
      </c>
      <c r="C267" s="24" t="s">
        <v>172</v>
      </c>
      <c r="D267" s="7">
        <v>235169</v>
      </c>
      <c r="E267" s="24" t="s">
        <v>9</v>
      </c>
      <c r="F267" s="11" t="str">
        <f t="shared" si="33"/>
        <v>OK</v>
      </c>
      <c r="G267" s="11" t="str">
        <f>IF(COUNTIFS($A:$A,A267,$E:E,E267)&gt;1,"NOK","OK")</f>
        <v>OK</v>
      </c>
      <c r="H267" s="11" t="str">
        <f t="shared" si="34"/>
        <v>OK</v>
      </c>
      <c r="I267" s="11" t="str">
        <f t="shared" si="35"/>
        <v>OK</v>
      </c>
      <c r="J267" s="11" t="str">
        <f t="shared" si="36"/>
        <v>OK</v>
      </c>
      <c r="K267" s="11" t="str">
        <f t="shared" si="37"/>
        <v>OK</v>
      </c>
      <c r="R267" t="str">
        <f t="shared" si="32"/>
        <v>Keep</v>
      </c>
    </row>
    <row r="268" spans="1:18" ht="15">
      <c r="A268" s="23" t="s">
        <v>279</v>
      </c>
      <c r="B268" s="24" t="s">
        <v>237</v>
      </c>
      <c r="C268" s="24" t="s">
        <v>172</v>
      </c>
      <c r="D268" s="7">
        <v>170324</v>
      </c>
      <c r="E268" s="24" t="s">
        <v>12</v>
      </c>
      <c r="F268" s="11" t="str">
        <f t="shared" si="33"/>
        <v>OK</v>
      </c>
      <c r="G268" s="11" t="str">
        <f>IF(COUNTIFS($A:$A,A268,$E:E,E268)&gt;1,"NOK","OK")</f>
        <v>OK</v>
      </c>
      <c r="H268" s="11" t="str">
        <f t="shared" si="34"/>
        <v>OK</v>
      </c>
      <c r="I268" s="11" t="str">
        <f t="shared" si="35"/>
        <v>OK</v>
      </c>
      <c r="J268" s="11" t="str">
        <f t="shared" si="36"/>
        <v>OK</v>
      </c>
      <c r="K268" s="11" t="str">
        <f t="shared" si="37"/>
        <v>OK</v>
      </c>
      <c r="R268" t="str">
        <f t="shared" si="32"/>
        <v>Keep</v>
      </c>
    </row>
    <row r="269" spans="1:18" ht="15">
      <c r="A269" s="23" t="s">
        <v>280</v>
      </c>
      <c r="B269" s="24" t="s">
        <v>11</v>
      </c>
      <c r="C269" s="24" t="s">
        <v>172</v>
      </c>
      <c r="D269" s="7">
        <v>222488</v>
      </c>
      <c r="E269" s="24" t="s">
        <v>16</v>
      </c>
      <c r="F269" s="11" t="str">
        <f t="shared" si="33"/>
        <v>OK</v>
      </c>
      <c r="G269" s="11" t="str">
        <f>IF(COUNTIFS($A:$A,A269,$E:E,E269)&gt;1,"NOK","OK")</f>
        <v>OK</v>
      </c>
      <c r="H269" s="11" t="str">
        <f t="shared" si="34"/>
        <v>OK</v>
      </c>
      <c r="I269" s="11" t="str">
        <f t="shared" si="35"/>
        <v>OK</v>
      </c>
      <c r="J269" s="11" t="str">
        <f t="shared" si="36"/>
        <v>OK</v>
      </c>
      <c r="K269" s="11" t="str">
        <f t="shared" si="37"/>
        <v>OK</v>
      </c>
      <c r="R269" t="str">
        <f t="shared" si="32"/>
        <v>Keep</v>
      </c>
    </row>
    <row r="270" spans="1:18" ht="15">
      <c r="A270" s="23" t="s">
        <v>281</v>
      </c>
      <c r="B270" s="24" t="s">
        <v>11</v>
      </c>
      <c r="C270" s="24" t="s">
        <v>172</v>
      </c>
      <c r="D270" s="7">
        <v>220247</v>
      </c>
      <c r="E270" s="24" t="s">
        <v>16</v>
      </c>
      <c r="F270" s="11" t="str">
        <f t="shared" si="33"/>
        <v>OK</v>
      </c>
      <c r="G270" s="11" t="str">
        <f>IF(COUNTIFS($A:$A,A270,$E:E,E270)&gt;1,"NOK","OK")</f>
        <v>OK</v>
      </c>
      <c r="H270" s="11" t="str">
        <f t="shared" si="34"/>
        <v>OK</v>
      </c>
      <c r="I270" s="11" t="str">
        <f t="shared" si="35"/>
        <v>OK</v>
      </c>
      <c r="J270" s="11" t="str">
        <f t="shared" si="36"/>
        <v>OK</v>
      </c>
      <c r="K270" s="11" t="str">
        <f t="shared" si="37"/>
        <v>OK</v>
      </c>
      <c r="R270" t="str">
        <f t="shared" si="32"/>
        <v>Keep</v>
      </c>
    </row>
    <row r="271" spans="1:18" ht="15">
      <c r="A271" s="23" t="s">
        <v>282</v>
      </c>
      <c r="B271" s="24" t="s">
        <v>11</v>
      </c>
      <c r="C271" s="24" t="s">
        <v>172</v>
      </c>
      <c r="D271" s="7">
        <v>200519</v>
      </c>
      <c r="E271" s="24" t="s">
        <v>12</v>
      </c>
      <c r="F271" s="11" t="str">
        <f t="shared" si="33"/>
        <v>OK</v>
      </c>
      <c r="G271" s="11" t="str">
        <f>IF(COUNTIFS($A:$A,A271,$E:E,E271)&gt;1,"NOK","OK")</f>
        <v>OK</v>
      </c>
      <c r="H271" s="11" t="str">
        <f t="shared" si="34"/>
        <v>OK</v>
      </c>
      <c r="I271" s="11" t="str">
        <f t="shared" si="35"/>
        <v>OK</v>
      </c>
      <c r="J271" s="11" t="str">
        <f t="shared" si="36"/>
        <v>OK</v>
      </c>
      <c r="K271" s="11" t="str">
        <f t="shared" si="37"/>
        <v>OK</v>
      </c>
      <c r="R271" t="str">
        <f t="shared" si="32"/>
        <v>Keep</v>
      </c>
    </row>
    <row r="272" spans="1:18" ht="15">
      <c r="A272" s="23" t="s">
        <v>283</v>
      </c>
      <c r="B272" s="24" t="s">
        <v>7</v>
      </c>
      <c r="C272" s="24" t="s">
        <v>172</v>
      </c>
      <c r="D272" s="7">
        <v>247856</v>
      </c>
      <c r="E272" s="24" t="s">
        <v>12</v>
      </c>
      <c r="F272" s="11" t="str">
        <f t="shared" si="33"/>
        <v>OK</v>
      </c>
      <c r="G272" s="11" t="str">
        <f>IF(COUNTIFS($A:$A,A272,$E:E,E272)&gt;1,"NOK","OK")</f>
        <v>OK</v>
      </c>
      <c r="H272" s="11" t="str">
        <f t="shared" si="34"/>
        <v>OK</v>
      </c>
      <c r="I272" s="11" t="str">
        <f t="shared" si="35"/>
        <v>OK</v>
      </c>
      <c r="J272" s="11" t="str">
        <f t="shared" si="36"/>
        <v>OK</v>
      </c>
      <c r="K272" s="11" t="str">
        <f t="shared" si="37"/>
        <v>OK</v>
      </c>
      <c r="R272" t="str">
        <f t="shared" si="32"/>
        <v>Keep</v>
      </c>
    </row>
    <row r="273" spans="1:18" ht="15">
      <c r="A273" s="23" t="s">
        <v>284</v>
      </c>
      <c r="B273" s="24" t="s">
        <v>11</v>
      </c>
      <c r="C273" s="24" t="s">
        <v>172</v>
      </c>
      <c r="D273" s="7">
        <v>59938</v>
      </c>
      <c r="E273" s="24" t="s">
        <v>16</v>
      </c>
      <c r="F273" s="11" t="str">
        <f t="shared" si="33"/>
        <v>OK</v>
      </c>
      <c r="G273" s="11" t="str">
        <f>IF(COUNTIFS($A:$A,A273,$E:E,E273)&gt;1,"NOK","OK")</f>
        <v>OK</v>
      </c>
      <c r="H273" s="11" t="str">
        <f t="shared" si="34"/>
        <v>OK</v>
      </c>
      <c r="I273" s="11" t="str">
        <f t="shared" si="35"/>
        <v>OK</v>
      </c>
      <c r="J273" s="11" t="str">
        <f t="shared" si="36"/>
        <v>OK</v>
      </c>
      <c r="K273" s="11" t="str">
        <f t="shared" si="37"/>
        <v>OK</v>
      </c>
      <c r="R273" t="str">
        <f t="shared" si="32"/>
        <v>Keep</v>
      </c>
    </row>
    <row r="274" spans="1:18" ht="15">
      <c r="A274" s="23" t="s">
        <v>285</v>
      </c>
      <c r="B274" s="24" t="s">
        <v>7</v>
      </c>
      <c r="C274" s="24" t="s">
        <v>172</v>
      </c>
      <c r="D274" s="7">
        <v>143213</v>
      </c>
      <c r="E274" s="24" t="s">
        <v>12</v>
      </c>
      <c r="F274" s="11" t="str">
        <f t="shared" si="33"/>
        <v>OK</v>
      </c>
      <c r="G274" s="11" t="str">
        <f>IF(COUNTIFS($A:$A,A274,$E:E,E274)&gt;1,"NOK","OK")</f>
        <v>OK</v>
      </c>
      <c r="H274" s="11" t="str">
        <f t="shared" si="34"/>
        <v>OK</v>
      </c>
      <c r="I274" s="11" t="str">
        <f t="shared" si="35"/>
        <v>OK</v>
      </c>
      <c r="J274" s="11" t="str">
        <f t="shared" si="36"/>
        <v>OK</v>
      </c>
      <c r="K274" s="11" t="str">
        <f t="shared" si="37"/>
        <v>OK</v>
      </c>
      <c r="R274" t="str">
        <f t="shared" si="32"/>
        <v>Keep</v>
      </c>
    </row>
    <row r="275" spans="1:18" ht="15">
      <c r="A275" s="23" t="s">
        <v>286</v>
      </c>
      <c r="B275" s="24" t="s">
        <v>7</v>
      </c>
      <c r="C275" s="24" t="s">
        <v>172</v>
      </c>
      <c r="D275" s="7">
        <v>10258</v>
      </c>
      <c r="E275" s="24" t="s">
        <v>16</v>
      </c>
      <c r="F275" s="11" t="str">
        <f t="shared" si="33"/>
        <v>OK</v>
      </c>
      <c r="G275" s="11" t="str">
        <f>IF(COUNTIFS($A:$A,A275,$E:E,E275)&gt;1,"NOK","OK")</f>
        <v>OK</v>
      </c>
      <c r="H275" s="11" t="str">
        <f t="shared" si="34"/>
        <v>OK</v>
      </c>
      <c r="I275" s="11" t="str">
        <f t="shared" si="35"/>
        <v>OK</v>
      </c>
      <c r="J275" s="11" t="str">
        <f t="shared" si="36"/>
        <v>OK</v>
      </c>
      <c r="K275" s="11" t="str">
        <f t="shared" si="37"/>
        <v>OK</v>
      </c>
      <c r="R275" t="str">
        <f t="shared" si="32"/>
        <v>Keep</v>
      </c>
    </row>
    <row r="276" spans="1:18" ht="15">
      <c r="A276" s="23" t="s">
        <v>287</v>
      </c>
      <c r="B276" s="24" t="s">
        <v>11</v>
      </c>
      <c r="C276" s="24" t="s">
        <v>172</v>
      </c>
      <c r="D276" s="7">
        <v>255850</v>
      </c>
      <c r="E276" s="24" t="s">
        <v>16</v>
      </c>
      <c r="F276" s="11" t="str">
        <f t="shared" si="33"/>
        <v>OK</v>
      </c>
      <c r="G276" s="11" t="str">
        <f>IF(COUNTIFS($A:$A,A276,$E:E,E276)&gt;1,"NOK","OK")</f>
        <v>OK</v>
      </c>
      <c r="H276" s="11" t="str">
        <f t="shared" si="34"/>
        <v>OK</v>
      </c>
      <c r="I276" s="11" t="str">
        <f t="shared" si="35"/>
        <v>OK</v>
      </c>
      <c r="J276" s="11" t="str">
        <f t="shared" si="36"/>
        <v>OK</v>
      </c>
      <c r="K276" s="11" t="str">
        <f t="shared" si="37"/>
        <v>OK</v>
      </c>
      <c r="R276" t="str">
        <f t="shared" si="32"/>
        <v>Keep</v>
      </c>
    </row>
    <row r="277" spans="1:18" ht="15">
      <c r="A277" s="23" t="s">
        <v>288</v>
      </c>
      <c r="B277" s="24" t="s">
        <v>7</v>
      </c>
      <c r="C277" s="24" t="s">
        <v>172</v>
      </c>
      <c r="D277" s="7">
        <v>20944</v>
      </c>
      <c r="E277" s="24" t="s">
        <v>9</v>
      </c>
      <c r="F277" s="11" t="str">
        <f t="shared" si="33"/>
        <v>OK</v>
      </c>
      <c r="G277" s="11" t="str">
        <f>IF(COUNTIFS($A:$A,A277,$E:E,E277)&gt;1,"NOK","OK")</f>
        <v>OK</v>
      </c>
      <c r="H277" s="11" t="str">
        <f t="shared" si="34"/>
        <v>OK</v>
      </c>
      <c r="I277" s="11" t="str">
        <f t="shared" si="35"/>
        <v>OK</v>
      </c>
      <c r="J277" s="11" t="str">
        <f t="shared" si="36"/>
        <v>OK</v>
      </c>
      <c r="K277" s="11" t="str">
        <f t="shared" si="37"/>
        <v>OK</v>
      </c>
      <c r="R277" t="str">
        <f t="shared" si="32"/>
        <v>Keep</v>
      </c>
    </row>
    <row r="278" spans="1:18" ht="15">
      <c r="A278" s="23" t="s">
        <v>289</v>
      </c>
      <c r="B278" s="24" t="s">
        <v>7</v>
      </c>
      <c r="C278" s="24" t="s">
        <v>172</v>
      </c>
      <c r="D278" s="7">
        <v>292982</v>
      </c>
      <c r="E278" s="24" t="s">
        <v>9</v>
      </c>
      <c r="F278" s="11" t="str">
        <f t="shared" si="33"/>
        <v>OK</v>
      </c>
      <c r="G278" s="11" t="str">
        <f>IF(COUNTIFS($A:$A,A278,$E:E,E278)&gt;1,"NOK","OK")</f>
        <v>OK</v>
      </c>
      <c r="H278" s="11" t="str">
        <f t="shared" si="34"/>
        <v>OK</v>
      </c>
      <c r="I278" s="11" t="str">
        <f t="shared" si="35"/>
        <v>OK</v>
      </c>
      <c r="J278" s="11" t="str">
        <f t="shared" si="36"/>
        <v>OK</v>
      </c>
      <c r="K278" s="11" t="str">
        <f t="shared" si="37"/>
        <v>OK</v>
      </c>
      <c r="R278" t="str">
        <f t="shared" si="32"/>
        <v>Keep</v>
      </c>
    </row>
    <row r="279" spans="1:18" ht="15">
      <c r="A279" s="23" t="s">
        <v>290</v>
      </c>
      <c r="B279" s="24" t="s">
        <v>7</v>
      </c>
      <c r="C279" s="24" t="s">
        <v>172</v>
      </c>
      <c r="D279" s="7">
        <v>201268</v>
      </c>
      <c r="E279" s="24" t="s">
        <v>9</v>
      </c>
      <c r="F279" s="11" t="str">
        <f t="shared" si="33"/>
        <v>OK</v>
      </c>
      <c r="G279" s="11" t="str">
        <f>IF(COUNTIFS($A:$A,A279,$E:E,E279)&gt;1,"NOK","OK")</f>
        <v>OK</v>
      </c>
      <c r="H279" s="11" t="str">
        <f t="shared" si="34"/>
        <v>OK</v>
      </c>
      <c r="I279" s="11" t="str">
        <f t="shared" si="35"/>
        <v>OK</v>
      </c>
      <c r="J279" s="11" t="str">
        <f t="shared" si="36"/>
        <v>OK</v>
      </c>
      <c r="K279" s="11" t="str">
        <f t="shared" si="37"/>
        <v>OK</v>
      </c>
      <c r="R279" t="str">
        <f t="shared" si="32"/>
        <v>Keep</v>
      </c>
    </row>
    <row r="280" spans="1:18" ht="15">
      <c r="A280" s="23" t="s">
        <v>291</v>
      </c>
      <c r="B280" s="24" t="s">
        <v>7</v>
      </c>
      <c r="C280" s="24" t="s">
        <v>172</v>
      </c>
      <c r="D280" s="7">
        <v>93893</v>
      </c>
      <c r="E280" s="24" t="s">
        <v>12</v>
      </c>
      <c r="F280" s="11" t="str">
        <f t="shared" si="33"/>
        <v>OK</v>
      </c>
      <c r="G280" s="11" t="str">
        <f>IF(COUNTIFS($A:$A,A280,$E:E,E280)&gt;1,"NOK","OK")</f>
        <v>OK</v>
      </c>
      <c r="H280" s="11" t="str">
        <f t="shared" si="34"/>
        <v>OK</v>
      </c>
      <c r="I280" s="11" t="str">
        <f t="shared" si="35"/>
        <v>OK</v>
      </c>
      <c r="J280" s="11" t="str">
        <f t="shared" si="36"/>
        <v>OK</v>
      </c>
      <c r="K280" s="11" t="str">
        <f t="shared" si="37"/>
        <v>OK</v>
      </c>
      <c r="R280" t="str">
        <f t="shared" si="32"/>
        <v>Keep</v>
      </c>
    </row>
    <row r="281" spans="1:18" ht="15">
      <c r="A281" s="23" t="s">
        <v>292</v>
      </c>
      <c r="B281" s="24" t="s">
        <v>7</v>
      </c>
      <c r="C281" s="24" t="s">
        <v>172</v>
      </c>
      <c r="D281" s="7">
        <v>112272</v>
      </c>
      <c r="E281" s="24" t="s">
        <v>16</v>
      </c>
      <c r="F281" s="11" t="str">
        <f t="shared" si="33"/>
        <v>OK</v>
      </c>
      <c r="G281" s="11" t="str">
        <f>IF(COUNTIFS($A:$A,A281,$E:E,E281)&gt;1,"NOK","OK")</f>
        <v>OK</v>
      </c>
      <c r="H281" s="11" t="str">
        <f t="shared" si="34"/>
        <v>OK</v>
      </c>
      <c r="I281" s="11" t="str">
        <f t="shared" si="35"/>
        <v>OK</v>
      </c>
      <c r="J281" s="11" t="str">
        <f t="shared" si="36"/>
        <v>OK</v>
      </c>
      <c r="K281" s="11" t="str">
        <f t="shared" si="37"/>
        <v>OK</v>
      </c>
      <c r="R281" t="str">
        <f t="shared" si="32"/>
        <v>Keep</v>
      </c>
    </row>
    <row r="282" spans="1:18" ht="15">
      <c r="A282" s="23" t="s">
        <v>293</v>
      </c>
      <c r="B282" s="24" t="s">
        <v>11</v>
      </c>
      <c r="C282" s="24" t="s">
        <v>172</v>
      </c>
      <c r="D282" s="7">
        <v>215981</v>
      </c>
      <c r="E282" s="24" t="s">
        <v>16</v>
      </c>
      <c r="F282" s="11" t="str">
        <f t="shared" si="33"/>
        <v>OK</v>
      </c>
      <c r="G282" s="11" t="str">
        <f>IF(COUNTIFS($A:$A,A282,$E:E,E282)&gt;1,"NOK","OK")</f>
        <v>OK</v>
      </c>
      <c r="H282" s="11" t="str">
        <f t="shared" si="34"/>
        <v>OK</v>
      </c>
      <c r="I282" s="11" t="str">
        <f t="shared" si="35"/>
        <v>OK</v>
      </c>
      <c r="J282" s="11" t="str">
        <f t="shared" si="36"/>
        <v>OK</v>
      </c>
      <c r="K282" s="11" t="str">
        <f t="shared" si="37"/>
        <v>OK</v>
      </c>
      <c r="R282" t="str">
        <f t="shared" si="32"/>
        <v>Keep</v>
      </c>
    </row>
    <row r="283" spans="1:18" ht="15">
      <c r="A283" s="23" t="s">
        <v>294</v>
      </c>
      <c r="B283" s="24" t="s">
        <v>7</v>
      </c>
      <c r="C283" s="24" t="s">
        <v>172</v>
      </c>
      <c r="D283" s="7">
        <v>35267</v>
      </c>
      <c r="E283" s="24" t="s">
        <v>16</v>
      </c>
      <c r="F283" s="11" t="str">
        <f t="shared" si="33"/>
        <v>OK</v>
      </c>
      <c r="G283" s="11" t="str">
        <f>IF(COUNTIFS($A:$A,A283,$E:E,E283)&gt;1,"NOK","OK")</f>
        <v>OK</v>
      </c>
      <c r="H283" s="11" t="str">
        <f t="shared" si="34"/>
        <v>OK</v>
      </c>
      <c r="I283" s="11" t="str">
        <f t="shared" si="35"/>
        <v>OK</v>
      </c>
      <c r="J283" s="11" t="str">
        <f t="shared" si="36"/>
        <v>OK</v>
      </c>
      <c r="K283" s="11" t="str">
        <f t="shared" si="37"/>
        <v>OK</v>
      </c>
      <c r="R283" t="str">
        <f t="shared" si="32"/>
        <v>Keep</v>
      </c>
    </row>
    <row r="284" spans="1:18" ht="15">
      <c r="A284" s="23" t="s">
        <v>295</v>
      </c>
      <c r="B284" s="24" t="s">
        <v>7</v>
      </c>
      <c r="C284" s="24" t="s">
        <v>172</v>
      </c>
      <c r="D284" s="7">
        <v>38264</v>
      </c>
      <c r="E284" s="24" t="s">
        <v>12</v>
      </c>
      <c r="F284" s="11" t="str">
        <f t="shared" si="33"/>
        <v>OK</v>
      </c>
      <c r="G284" s="11" t="str">
        <f>IF(COUNTIFS($A:$A,A284,$E:E,E284)&gt;1,"NOK","OK")</f>
        <v>OK</v>
      </c>
      <c r="H284" s="11" t="str">
        <f t="shared" si="34"/>
        <v>OK</v>
      </c>
      <c r="I284" s="11" t="str">
        <f t="shared" si="35"/>
        <v>OK</v>
      </c>
      <c r="J284" s="11" t="str">
        <f t="shared" si="36"/>
        <v>OK</v>
      </c>
      <c r="K284" s="11" t="str">
        <f t="shared" si="37"/>
        <v>OK</v>
      </c>
      <c r="R284" t="str">
        <f t="shared" si="32"/>
        <v>Keep</v>
      </c>
    </row>
    <row r="285" spans="1:18" ht="15">
      <c r="A285" s="23" t="s">
        <v>296</v>
      </c>
      <c r="B285" s="24" t="s">
        <v>237</v>
      </c>
      <c r="C285" s="24" t="s">
        <v>172</v>
      </c>
      <c r="D285" s="7">
        <v>72935</v>
      </c>
      <c r="E285" s="24" t="s">
        <v>12</v>
      </c>
      <c r="F285" s="11" t="str">
        <f t="shared" si="33"/>
        <v>OK</v>
      </c>
      <c r="G285" s="11" t="str">
        <f>IF(COUNTIFS($A:$A,A285,$E:E,E285)&gt;1,"NOK","OK")</f>
        <v>OK</v>
      </c>
      <c r="H285" s="11" t="str">
        <f t="shared" si="34"/>
        <v>OK</v>
      </c>
      <c r="I285" s="11" t="str">
        <f t="shared" si="35"/>
        <v>OK</v>
      </c>
      <c r="J285" s="11" t="str">
        <f t="shared" si="36"/>
        <v>OK</v>
      </c>
      <c r="K285" s="11" t="str">
        <f t="shared" si="37"/>
        <v>OK</v>
      </c>
      <c r="R285" t="str">
        <f t="shared" si="32"/>
        <v>Keep</v>
      </c>
    </row>
    <row r="286" spans="1:18" ht="15">
      <c r="A286" s="23" t="s">
        <v>297</v>
      </c>
      <c r="B286" s="24" t="s">
        <v>7</v>
      </c>
      <c r="C286" s="24" t="s">
        <v>172</v>
      </c>
      <c r="D286" s="7">
        <v>85861</v>
      </c>
      <c r="E286" s="24" t="s">
        <v>12</v>
      </c>
      <c r="F286" s="11" t="str">
        <f t="shared" si="33"/>
        <v>OK</v>
      </c>
      <c r="G286" s="11" t="str">
        <f>IF(COUNTIFS($A:$A,A286,$E:E,E286)&gt;1,"NOK","OK")</f>
        <v>OK</v>
      </c>
      <c r="H286" s="11" t="str">
        <f t="shared" si="34"/>
        <v>OK</v>
      </c>
      <c r="I286" s="11" t="str">
        <f t="shared" si="35"/>
        <v>OK</v>
      </c>
      <c r="J286" s="11" t="str">
        <f t="shared" si="36"/>
        <v>OK</v>
      </c>
      <c r="K286" s="11" t="str">
        <f t="shared" si="37"/>
        <v>OK</v>
      </c>
      <c r="R286" t="str">
        <f t="shared" si="32"/>
        <v>Keep</v>
      </c>
    </row>
    <row r="287" spans="1:18" ht="15">
      <c r="A287" s="23" t="s">
        <v>298</v>
      </c>
      <c r="B287" s="24" t="s">
        <v>7</v>
      </c>
      <c r="C287" s="24" t="s">
        <v>172</v>
      </c>
      <c r="D287" s="7">
        <v>25882</v>
      </c>
      <c r="E287" s="24" t="s">
        <v>12</v>
      </c>
      <c r="F287" s="11" t="str">
        <f t="shared" si="33"/>
        <v>OK</v>
      </c>
      <c r="G287" s="11" t="str">
        <f>IF(COUNTIFS($A:$A,A287,$E:E,E287)&gt;1,"NOK","OK")</f>
        <v>OK</v>
      </c>
      <c r="H287" s="11" t="str">
        <f t="shared" si="34"/>
        <v>OK</v>
      </c>
      <c r="I287" s="11" t="str">
        <f t="shared" si="35"/>
        <v>OK</v>
      </c>
      <c r="J287" s="11" t="str">
        <f t="shared" si="36"/>
        <v>OK</v>
      </c>
      <c r="K287" s="11" t="str">
        <f t="shared" si="37"/>
        <v>OK</v>
      </c>
      <c r="R287" t="str">
        <f t="shared" si="32"/>
        <v>Keep</v>
      </c>
    </row>
    <row r="288" spans="1:18" ht="15">
      <c r="A288" s="23" t="s">
        <v>299</v>
      </c>
      <c r="B288" s="24" t="s">
        <v>7</v>
      </c>
      <c r="C288" s="24" t="s">
        <v>172</v>
      </c>
      <c r="D288" s="7">
        <v>69539</v>
      </c>
      <c r="E288" s="24" t="s">
        <v>9</v>
      </c>
      <c r="F288" s="11" t="str">
        <f t="shared" si="33"/>
        <v>OK</v>
      </c>
      <c r="G288" s="11" t="str">
        <f>IF(COUNTIFS($A:$A,A288,$E:E,E288)&gt;1,"NOK","OK")</f>
        <v>OK</v>
      </c>
      <c r="H288" s="11" t="str">
        <f t="shared" si="34"/>
        <v>OK</v>
      </c>
      <c r="I288" s="11" t="str">
        <f t="shared" si="35"/>
        <v>OK</v>
      </c>
      <c r="J288" s="11" t="str">
        <f t="shared" si="36"/>
        <v>OK</v>
      </c>
      <c r="K288" s="11" t="str">
        <f t="shared" si="37"/>
        <v>OK</v>
      </c>
      <c r="R288" t="str">
        <f t="shared" si="32"/>
        <v>Keep</v>
      </c>
    </row>
    <row r="289" spans="1:18" ht="15">
      <c r="A289" s="23" t="s">
        <v>300</v>
      </c>
      <c r="B289" s="24" t="s">
        <v>11</v>
      </c>
      <c r="C289" s="24" t="s">
        <v>172</v>
      </c>
      <c r="D289" s="7">
        <v>99655</v>
      </c>
      <c r="E289" s="24" t="s">
        <v>16</v>
      </c>
      <c r="F289" s="11" t="str">
        <f t="shared" si="33"/>
        <v>OK</v>
      </c>
      <c r="G289" s="11" t="str">
        <f>IF(COUNTIFS($A:$A,A289,$E:E,E289)&gt;1,"NOK","OK")</f>
        <v>OK</v>
      </c>
      <c r="H289" s="11" t="str">
        <f t="shared" si="34"/>
        <v>OK</v>
      </c>
      <c r="I289" s="11" t="str">
        <f t="shared" si="35"/>
        <v>OK</v>
      </c>
      <c r="J289" s="11" t="str">
        <f t="shared" si="36"/>
        <v>OK</v>
      </c>
      <c r="K289" s="11" t="str">
        <f t="shared" si="37"/>
        <v>OK</v>
      </c>
      <c r="R289" t="str">
        <f t="shared" si="32"/>
        <v>Keep</v>
      </c>
    </row>
    <row r="290" spans="1:18" ht="15">
      <c r="A290" s="23" t="s">
        <v>301</v>
      </c>
      <c r="B290" s="24" t="s">
        <v>7</v>
      </c>
      <c r="C290" s="24" t="s">
        <v>172</v>
      </c>
      <c r="D290" s="7">
        <v>257129</v>
      </c>
      <c r="E290" s="24" t="s">
        <v>9</v>
      </c>
      <c r="F290" s="11" t="str">
        <f t="shared" si="33"/>
        <v>OK</v>
      </c>
      <c r="G290" s="11" t="str">
        <f>IF(COUNTIFS($A:$A,A290,$E:E,E290)&gt;1,"NOK","OK")</f>
        <v>OK</v>
      </c>
      <c r="H290" s="11" t="str">
        <f t="shared" si="34"/>
        <v>OK</v>
      </c>
      <c r="I290" s="11" t="str">
        <f t="shared" si="35"/>
        <v>OK</v>
      </c>
      <c r="J290" s="11" t="str">
        <f t="shared" si="36"/>
        <v>OK</v>
      </c>
      <c r="K290" s="11" t="str">
        <f t="shared" si="37"/>
        <v>OK</v>
      </c>
      <c r="R290" t="str">
        <f t="shared" si="32"/>
        <v>Keep</v>
      </c>
    </row>
    <row r="291" spans="1:18" ht="15">
      <c r="A291" s="23" t="s">
        <v>302</v>
      </c>
      <c r="B291" s="24" t="s">
        <v>7</v>
      </c>
      <c r="C291" s="24" t="s">
        <v>172</v>
      </c>
      <c r="D291" s="7">
        <v>196241</v>
      </c>
      <c r="E291" s="24" t="s">
        <v>16</v>
      </c>
      <c r="F291" s="11" t="str">
        <f t="shared" si="33"/>
        <v>OK</v>
      </c>
      <c r="G291" s="11" t="str">
        <f>IF(COUNTIFS($A:$A,A291,$E:E,E291)&gt;1,"NOK","OK")</f>
        <v>OK</v>
      </c>
      <c r="H291" s="11" t="str">
        <f t="shared" si="34"/>
        <v>OK</v>
      </c>
      <c r="I291" s="11" t="str">
        <f t="shared" si="35"/>
        <v>OK</v>
      </c>
      <c r="J291" s="11" t="str">
        <f t="shared" si="36"/>
        <v>OK</v>
      </c>
      <c r="K291" s="11" t="str">
        <f t="shared" si="37"/>
        <v>OK</v>
      </c>
      <c r="R291" t="str">
        <f t="shared" si="32"/>
        <v>Keep</v>
      </c>
    </row>
    <row r="292" spans="1:18" ht="15">
      <c r="A292" s="23" t="s">
        <v>303</v>
      </c>
      <c r="B292" s="24" t="s">
        <v>11</v>
      </c>
      <c r="C292" s="24" t="s">
        <v>172</v>
      </c>
      <c r="D292" s="7">
        <v>35405</v>
      </c>
      <c r="E292" s="24" t="s">
        <v>9</v>
      </c>
      <c r="F292" s="11" t="str">
        <f t="shared" si="33"/>
        <v>OK</v>
      </c>
      <c r="G292" s="11" t="str">
        <f>IF(COUNTIFS($A:$A,A292,$E:E,E292)&gt;1,"NOK","OK")</f>
        <v>OK</v>
      </c>
      <c r="H292" s="11" t="str">
        <f t="shared" si="34"/>
        <v>OK</v>
      </c>
      <c r="I292" s="11" t="str">
        <f t="shared" si="35"/>
        <v>OK</v>
      </c>
      <c r="J292" s="11" t="str">
        <f t="shared" si="36"/>
        <v>OK</v>
      </c>
      <c r="K292" s="11" t="str">
        <f t="shared" si="37"/>
        <v>OK</v>
      </c>
      <c r="R292" t="str">
        <f t="shared" si="32"/>
        <v>Keep</v>
      </c>
    </row>
    <row r="293" spans="1:18" ht="15">
      <c r="A293" s="23" t="s">
        <v>304</v>
      </c>
      <c r="B293" s="24" t="s">
        <v>7</v>
      </c>
      <c r="C293" s="24" t="s">
        <v>172</v>
      </c>
      <c r="D293" s="7">
        <v>157012</v>
      </c>
      <c r="E293" s="24" t="s">
        <v>12</v>
      </c>
      <c r="F293" s="11" t="str">
        <f t="shared" si="33"/>
        <v>OK</v>
      </c>
      <c r="G293" s="11" t="str">
        <f>IF(COUNTIFS($A:$A,A293,$E:E,E293)&gt;1,"NOK","OK")</f>
        <v>OK</v>
      </c>
      <c r="H293" s="11" t="str">
        <f t="shared" si="34"/>
        <v>OK</v>
      </c>
      <c r="I293" s="11" t="str">
        <f t="shared" si="35"/>
        <v>OK</v>
      </c>
      <c r="J293" s="11" t="str">
        <f t="shared" si="36"/>
        <v>OK</v>
      </c>
      <c r="K293" s="11" t="str">
        <f t="shared" si="37"/>
        <v>OK</v>
      </c>
      <c r="R293" t="str">
        <f t="shared" si="32"/>
        <v>Keep</v>
      </c>
    </row>
    <row r="294" spans="1:18" ht="15">
      <c r="A294" s="23" t="s">
        <v>305</v>
      </c>
      <c r="B294" s="24" t="s">
        <v>7</v>
      </c>
      <c r="C294" s="24" t="s">
        <v>172</v>
      </c>
      <c r="D294" s="7">
        <v>293223</v>
      </c>
      <c r="E294" s="24" t="s">
        <v>16</v>
      </c>
      <c r="F294" s="11" t="str">
        <f t="shared" si="33"/>
        <v>OK</v>
      </c>
      <c r="G294" s="11" t="str">
        <f>IF(COUNTIFS($A:$A,A294,$E:E,E294)&gt;1,"NOK","OK")</f>
        <v>OK</v>
      </c>
      <c r="H294" s="11" t="str">
        <f t="shared" si="34"/>
        <v>OK</v>
      </c>
      <c r="I294" s="11" t="str">
        <f t="shared" si="35"/>
        <v>OK</v>
      </c>
      <c r="J294" s="11" t="str">
        <f t="shared" si="36"/>
        <v>OK</v>
      </c>
      <c r="K294" s="11" t="str">
        <f t="shared" si="37"/>
        <v>OK</v>
      </c>
      <c r="R294" t="str">
        <f t="shared" si="32"/>
        <v>Keep</v>
      </c>
    </row>
    <row r="295" spans="1:18" ht="15">
      <c r="A295" s="23" t="s">
        <v>306</v>
      </c>
      <c r="B295" s="24" t="s">
        <v>11</v>
      </c>
      <c r="C295" s="24" t="s">
        <v>172</v>
      </c>
      <c r="D295" s="7">
        <v>239250</v>
      </c>
      <c r="E295" s="24" t="s">
        <v>12</v>
      </c>
      <c r="F295" s="11" t="str">
        <f t="shared" si="33"/>
        <v>OK</v>
      </c>
      <c r="G295" s="11" t="str">
        <f>IF(COUNTIFS($A:$A,A295,$E:E,E295)&gt;1,"NOK","OK")</f>
        <v>OK</v>
      </c>
      <c r="H295" s="11" t="str">
        <f t="shared" si="34"/>
        <v>OK</v>
      </c>
      <c r="I295" s="11" t="str">
        <f t="shared" si="35"/>
        <v>OK</v>
      </c>
      <c r="J295" s="11" t="str">
        <f t="shared" si="36"/>
        <v>OK</v>
      </c>
      <c r="K295" s="11" t="str">
        <f t="shared" si="37"/>
        <v>OK</v>
      </c>
      <c r="R295" t="str">
        <f t="shared" si="32"/>
        <v>Keep</v>
      </c>
    </row>
    <row r="296" spans="1:18" ht="15">
      <c r="A296" s="23" t="s">
        <v>307</v>
      </c>
      <c r="B296" s="24" t="s">
        <v>7</v>
      </c>
      <c r="C296" s="24" t="s">
        <v>172</v>
      </c>
      <c r="D296" s="7">
        <v>168156</v>
      </c>
      <c r="E296" s="24" t="s">
        <v>9</v>
      </c>
      <c r="F296" s="11" t="str">
        <f t="shared" si="33"/>
        <v>OK</v>
      </c>
      <c r="G296" s="11" t="str">
        <f>IF(COUNTIFS($A:$A,A296,$E:E,E296)&gt;1,"NOK","OK")</f>
        <v>OK</v>
      </c>
      <c r="H296" s="11" t="str">
        <f t="shared" si="34"/>
        <v>OK</v>
      </c>
      <c r="I296" s="11" t="str">
        <f t="shared" si="35"/>
        <v>OK</v>
      </c>
      <c r="J296" s="11" t="str">
        <f t="shared" si="36"/>
        <v>OK</v>
      </c>
      <c r="K296" s="11" t="str">
        <f t="shared" si="37"/>
        <v>OK</v>
      </c>
      <c r="R296" t="str">
        <f t="shared" si="32"/>
        <v>Keep</v>
      </c>
    </row>
    <row r="297" spans="1:18" ht="15">
      <c r="A297" s="23" t="s">
        <v>308</v>
      </c>
      <c r="B297" s="24" t="s">
        <v>25</v>
      </c>
      <c r="C297" s="24" t="s">
        <v>172</v>
      </c>
      <c r="D297" s="7">
        <v>149864</v>
      </c>
      <c r="E297" s="24" t="s">
        <v>9</v>
      </c>
      <c r="F297" s="11" t="str">
        <f t="shared" si="33"/>
        <v>OK</v>
      </c>
      <c r="G297" s="11" t="str">
        <f>IF(COUNTIFS($A:$A,A297,$E:E,E297)&gt;1,"NOK","OK")</f>
        <v>OK</v>
      </c>
      <c r="H297" s="11" t="str">
        <f t="shared" si="34"/>
        <v>OK</v>
      </c>
      <c r="I297" s="11" t="str">
        <f t="shared" si="35"/>
        <v>OK</v>
      </c>
      <c r="J297" s="11" t="str">
        <f t="shared" si="36"/>
        <v>OK</v>
      </c>
      <c r="K297" s="11" t="str">
        <f t="shared" si="37"/>
        <v>OK</v>
      </c>
      <c r="R297" t="str">
        <f t="shared" si="32"/>
        <v>Keep</v>
      </c>
    </row>
    <row r="298" spans="1:18" ht="15">
      <c r="A298" s="23" t="s">
        <v>309</v>
      </c>
      <c r="B298" s="24" t="s">
        <v>237</v>
      </c>
      <c r="C298" s="24" t="s">
        <v>172</v>
      </c>
      <c r="D298" s="7">
        <v>32633</v>
      </c>
      <c r="E298" s="24" t="s">
        <v>12</v>
      </c>
      <c r="F298" s="11" t="str">
        <f t="shared" si="33"/>
        <v>OK</v>
      </c>
      <c r="G298" s="11" t="str">
        <f>IF(COUNTIFS($A:$A,A298,$E:E,E298)&gt;1,"NOK","OK")</f>
        <v>OK</v>
      </c>
      <c r="H298" s="11" t="str">
        <f t="shared" si="34"/>
        <v>OK</v>
      </c>
      <c r="I298" s="11" t="str">
        <f t="shared" si="35"/>
        <v>OK</v>
      </c>
      <c r="J298" s="11" t="str">
        <f t="shared" si="36"/>
        <v>OK</v>
      </c>
      <c r="K298" s="11" t="str">
        <f t="shared" si="37"/>
        <v>OK</v>
      </c>
      <c r="R298" t="str">
        <f t="shared" si="32"/>
        <v>Keep</v>
      </c>
    </row>
    <row r="299" spans="1:18" ht="15">
      <c r="A299" s="23" t="s">
        <v>310</v>
      </c>
      <c r="B299" s="24" t="s">
        <v>11</v>
      </c>
      <c r="C299" s="24" t="s">
        <v>172</v>
      </c>
      <c r="D299" s="7">
        <v>162773</v>
      </c>
      <c r="E299" s="24" t="s">
        <v>12</v>
      </c>
      <c r="F299" s="11" t="str">
        <f t="shared" si="33"/>
        <v>OK</v>
      </c>
      <c r="G299" s="11" t="str">
        <f>IF(COUNTIFS($A:$A,A299,$E:E,E299)&gt;1,"NOK","OK")</f>
        <v>OK</v>
      </c>
      <c r="H299" s="11" t="str">
        <f t="shared" si="34"/>
        <v>OK</v>
      </c>
      <c r="I299" s="11" t="str">
        <f t="shared" si="35"/>
        <v>OK</v>
      </c>
      <c r="J299" s="11" t="str">
        <f t="shared" si="36"/>
        <v>OK</v>
      </c>
      <c r="K299" s="11" t="str">
        <f t="shared" si="37"/>
        <v>OK</v>
      </c>
      <c r="R299" t="str">
        <f t="shared" si="32"/>
        <v>Keep</v>
      </c>
    </row>
    <row r="300" spans="1:18" ht="15">
      <c r="A300" s="23" t="s">
        <v>311</v>
      </c>
      <c r="B300" s="24" t="s">
        <v>7</v>
      </c>
      <c r="C300" s="24" t="s">
        <v>172</v>
      </c>
      <c r="D300" s="7">
        <v>282550</v>
      </c>
      <c r="E300" s="24" t="s">
        <v>16</v>
      </c>
      <c r="F300" s="11" t="str">
        <f t="shared" si="33"/>
        <v>OK</v>
      </c>
      <c r="G300" s="11" t="str">
        <f>IF(COUNTIFS($A:$A,A300,$E:E,E300)&gt;1,"NOK","OK")</f>
        <v>OK</v>
      </c>
      <c r="H300" s="11" t="str">
        <f t="shared" si="34"/>
        <v>OK</v>
      </c>
      <c r="I300" s="11" t="str">
        <f t="shared" si="35"/>
        <v>OK</v>
      </c>
      <c r="J300" s="11" t="str">
        <f t="shared" si="36"/>
        <v>OK</v>
      </c>
      <c r="K300" s="11" t="str">
        <f t="shared" si="37"/>
        <v>OK</v>
      </c>
      <c r="R300" t="str">
        <f t="shared" si="32"/>
        <v>Keep</v>
      </c>
    </row>
    <row r="301" spans="1:18" ht="15">
      <c r="A301" s="23" t="s">
        <v>312</v>
      </c>
      <c r="B301" s="24" t="s">
        <v>7</v>
      </c>
      <c r="C301" s="24" t="s">
        <v>172</v>
      </c>
      <c r="D301" s="7">
        <v>131600</v>
      </c>
      <c r="E301" s="24" t="s">
        <v>12</v>
      </c>
      <c r="F301" s="11" t="str">
        <f t="shared" si="33"/>
        <v>OK</v>
      </c>
      <c r="G301" s="11" t="str">
        <f>IF(COUNTIFS($A:$A,A301,$E:E,E301)&gt;1,"NOK","OK")</f>
        <v>OK</v>
      </c>
      <c r="H301" s="11" t="str">
        <f t="shared" si="34"/>
        <v>OK</v>
      </c>
      <c r="I301" s="11" t="str">
        <f t="shared" si="35"/>
        <v>OK</v>
      </c>
      <c r="J301" s="11" t="str">
        <f t="shared" si="36"/>
        <v>OK</v>
      </c>
      <c r="K301" s="11" t="str">
        <f t="shared" si="37"/>
        <v>OK</v>
      </c>
      <c r="R301" t="str">
        <f t="shared" si="32"/>
        <v>Keep</v>
      </c>
    </row>
    <row r="302" spans="1:18" ht="15">
      <c r="A302" s="23" t="s">
        <v>313</v>
      </c>
      <c r="B302" s="24" t="s">
        <v>237</v>
      </c>
      <c r="C302" s="24" t="s">
        <v>172</v>
      </c>
      <c r="D302" s="7">
        <v>186258</v>
      </c>
      <c r="E302" s="24" t="s">
        <v>12</v>
      </c>
      <c r="F302" s="11" t="str">
        <f t="shared" si="33"/>
        <v>OK</v>
      </c>
      <c r="G302" s="11" t="str">
        <f>IF(COUNTIFS($A:$A,A302,$E:E,E302)&gt;1,"NOK","OK")</f>
        <v>OK</v>
      </c>
      <c r="H302" s="11" t="str">
        <f t="shared" si="34"/>
        <v>OK</v>
      </c>
      <c r="I302" s="11" t="str">
        <f t="shared" si="35"/>
        <v>OK</v>
      </c>
      <c r="J302" s="11" t="str">
        <f t="shared" si="36"/>
        <v>OK</v>
      </c>
      <c r="K302" s="11" t="str">
        <f t="shared" si="37"/>
        <v>OK</v>
      </c>
      <c r="R302" t="str">
        <f t="shared" si="32"/>
        <v>Keep</v>
      </c>
    </row>
    <row r="303" spans="1:18" ht="15">
      <c r="A303" s="23" t="s">
        <v>314</v>
      </c>
      <c r="B303" s="24" t="s">
        <v>7</v>
      </c>
      <c r="C303" s="24" t="s">
        <v>172</v>
      </c>
      <c r="D303" s="7">
        <v>258889</v>
      </c>
      <c r="E303" s="24" t="s">
        <v>16</v>
      </c>
      <c r="F303" s="11" t="str">
        <f t="shared" si="33"/>
        <v>OK</v>
      </c>
      <c r="G303" s="11" t="str">
        <f>IF(COUNTIFS($A:$A,A303,$E:E,E303)&gt;1,"NOK","OK")</f>
        <v>OK</v>
      </c>
      <c r="H303" s="11" t="str">
        <f t="shared" si="34"/>
        <v>OK</v>
      </c>
      <c r="I303" s="11" t="str">
        <f t="shared" si="35"/>
        <v>OK</v>
      </c>
      <c r="J303" s="11" t="str">
        <f t="shared" si="36"/>
        <v>OK</v>
      </c>
      <c r="K303" s="11" t="str">
        <f t="shared" si="37"/>
        <v>OK</v>
      </c>
      <c r="R303" t="str">
        <f t="shared" si="32"/>
        <v>Keep</v>
      </c>
    </row>
    <row r="304" spans="1:18" ht="15">
      <c r="A304" s="23" t="s">
        <v>315</v>
      </c>
      <c r="B304" s="24" t="s">
        <v>11</v>
      </c>
      <c r="C304" s="24" t="s">
        <v>172</v>
      </c>
      <c r="D304" s="7">
        <v>7693</v>
      </c>
      <c r="E304" s="24" t="s">
        <v>12</v>
      </c>
      <c r="F304" s="11" t="str">
        <f t="shared" si="33"/>
        <v>OK</v>
      </c>
      <c r="G304" s="11" t="str">
        <f>IF(COUNTIFS($A:$A,A304,$E:E,E304)&gt;1,"NOK","OK")</f>
        <v>OK</v>
      </c>
      <c r="H304" s="11" t="str">
        <f t="shared" si="34"/>
        <v>OK</v>
      </c>
      <c r="I304" s="11" t="str">
        <f t="shared" si="35"/>
        <v>OK</v>
      </c>
      <c r="J304" s="11" t="str">
        <f t="shared" si="36"/>
        <v>OK</v>
      </c>
      <c r="K304" s="11" t="str">
        <f t="shared" si="37"/>
        <v>OK</v>
      </c>
      <c r="R304" t="str">
        <f t="shared" si="32"/>
        <v>Keep</v>
      </c>
    </row>
    <row r="305" spans="1:18" ht="15">
      <c r="A305" s="23" t="s">
        <v>316</v>
      </c>
      <c r="B305" s="24" t="s">
        <v>7</v>
      </c>
      <c r="C305" s="24" t="s">
        <v>172</v>
      </c>
      <c r="D305" s="7">
        <v>114706</v>
      </c>
      <c r="E305" s="24" t="s">
        <v>16</v>
      </c>
      <c r="F305" s="11" t="str">
        <f t="shared" si="33"/>
        <v>OK</v>
      </c>
      <c r="G305" s="11" t="str">
        <f>IF(COUNTIFS($A:$A,A305,$E:E,E305)&gt;1,"NOK","OK")</f>
        <v>OK</v>
      </c>
      <c r="H305" s="11" t="str">
        <f t="shared" si="34"/>
        <v>OK</v>
      </c>
      <c r="I305" s="11" t="str">
        <f t="shared" si="35"/>
        <v>OK</v>
      </c>
      <c r="J305" s="11" t="str">
        <f t="shared" si="36"/>
        <v>OK</v>
      </c>
      <c r="K305" s="11" t="str">
        <f t="shared" si="37"/>
        <v>OK</v>
      </c>
      <c r="R305" t="str">
        <f t="shared" si="32"/>
        <v>Keep</v>
      </c>
    </row>
    <row r="306" spans="1:18" ht="15">
      <c r="A306" s="23" t="s">
        <v>317</v>
      </c>
      <c r="B306" s="24" t="s">
        <v>11</v>
      </c>
      <c r="C306" s="24" t="s">
        <v>172</v>
      </c>
      <c r="D306" s="7">
        <v>260625</v>
      </c>
      <c r="E306" s="24" t="s">
        <v>16</v>
      </c>
      <c r="F306" s="11" t="str">
        <f t="shared" si="33"/>
        <v>OK</v>
      </c>
      <c r="G306" s="11" t="str">
        <f>IF(COUNTIFS($A:$A,A306,$E:E,E306)&gt;1,"NOK","OK")</f>
        <v>OK</v>
      </c>
      <c r="H306" s="11" t="str">
        <f t="shared" si="34"/>
        <v>OK</v>
      </c>
      <c r="I306" s="11" t="str">
        <f t="shared" si="35"/>
        <v>OK</v>
      </c>
      <c r="J306" s="11" t="str">
        <f t="shared" si="36"/>
        <v>OK</v>
      </c>
      <c r="K306" s="11" t="str">
        <f t="shared" si="37"/>
        <v>OK</v>
      </c>
      <c r="R306" t="str">
        <f t="shared" si="32"/>
        <v>Keep</v>
      </c>
    </row>
    <row r="307" spans="1:18" ht="15">
      <c r="A307" s="23" t="s">
        <v>318</v>
      </c>
      <c r="B307" s="24" t="s">
        <v>25</v>
      </c>
      <c r="C307" s="24" t="s">
        <v>172</v>
      </c>
      <c r="D307" s="7">
        <v>140167</v>
      </c>
      <c r="E307" s="24" t="s">
        <v>16</v>
      </c>
      <c r="F307" s="11" t="str">
        <f t="shared" si="33"/>
        <v>OK</v>
      </c>
      <c r="G307" s="11" t="str">
        <f>IF(COUNTIFS($A:$A,A307,$E:E,E307)&gt;1,"NOK","OK")</f>
        <v>OK</v>
      </c>
      <c r="H307" s="11" t="str">
        <f t="shared" si="34"/>
        <v>OK</v>
      </c>
      <c r="I307" s="11" t="str">
        <f t="shared" si="35"/>
        <v>OK</v>
      </c>
      <c r="J307" s="11" t="str">
        <f t="shared" si="36"/>
        <v>OK</v>
      </c>
      <c r="K307" s="11" t="str">
        <f t="shared" si="37"/>
        <v>OK</v>
      </c>
      <c r="R307" t="str">
        <f t="shared" si="32"/>
        <v>Keep</v>
      </c>
    </row>
    <row r="308" spans="1:18" ht="15">
      <c r="A308" s="23" t="s">
        <v>319</v>
      </c>
      <c r="B308" s="24" t="s">
        <v>7</v>
      </c>
      <c r="C308" s="24" t="s">
        <v>172</v>
      </c>
      <c r="D308" s="7">
        <v>256552</v>
      </c>
      <c r="E308" s="24" t="s">
        <v>9</v>
      </c>
      <c r="F308" s="11" t="str">
        <f t="shared" si="33"/>
        <v>OK</v>
      </c>
      <c r="G308" s="11" t="str">
        <f>IF(COUNTIFS($A:$A,A308,$E:E,E308)&gt;1,"NOK","OK")</f>
        <v>OK</v>
      </c>
      <c r="H308" s="11" t="str">
        <f t="shared" si="34"/>
        <v>OK</v>
      </c>
      <c r="I308" s="11" t="str">
        <f t="shared" si="35"/>
        <v>OK</v>
      </c>
      <c r="J308" s="11" t="str">
        <f t="shared" si="36"/>
        <v>OK</v>
      </c>
      <c r="K308" s="11" t="str">
        <f t="shared" si="37"/>
        <v>OK</v>
      </c>
      <c r="R308" t="str">
        <f t="shared" si="32"/>
        <v>Keep</v>
      </c>
    </row>
    <row r="309" spans="1:18" ht="15">
      <c r="A309" s="23" t="s">
        <v>320</v>
      </c>
      <c r="B309" s="24" t="s">
        <v>7</v>
      </c>
      <c r="C309" s="24" t="s">
        <v>172</v>
      </c>
      <c r="D309" s="7">
        <v>239821</v>
      </c>
      <c r="E309" s="24" t="s">
        <v>16</v>
      </c>
      <c r="F309" s="11" t="str">
        <f t="shared" si="33"/>
        <v>OK</v>
      </c>
      <c r="G309" s="11" t="str">
        <f>IF(COUNTIFS($A:$A,A309,$E:E,E309)&gt;1,"NOK","OK")</f>
        <v>OK</v>
      </c>
      <c r="H309" s="11" t="str">
        <f t="shared" si="34"/>
        <v>OK</v>
      </c>
      <c r="I309" s="11" t="str">
        <f t="shared" si="35"/>
        <v>OK</v>
      </c>
      <c r="J309" s="11" t="str">
        <f t="shared" si="36"/>
        <v>OK</v>
      </c>
      <c r="K309" s="11" t="str">
        <f t="shared" si="37"/>
        <v>OK</v>
      </c>
      <c r="R309" t="str">
        <f t="shared" si="32"/>
        <v>Keep</v>
      </c>
    </row>
    <row r="310" spans="1:18" ht="15">
      <c r="A310" s="23" t="s">
        <v>321</v>
      </c>
      <c r="B310" s="24" t="s">
        <v>237</v>
      </c>
      <c r="C310" s="24" t="s">
        <v>172</v>
      </c>
      <c r="D310" s="7">
        <v>274993</v>
      </c>
      <c r="E310" s="24" t="s">
        <v>12</v>
      </c>
      <c r="F310" s="11" t="str">
        <f t="shared" si="33"/>
        <v>OK</v>
      </c>
      <c r="G310" s="11" t="str">
        <f>IF(COUNTIFS($A:$A,A310,$E:E,E310)&gt;1,"NOK","OK")</f>
        <v>OK</v>
      </c>
      <c r="H310" s="11" t="str">
        <f t="shared" si="34"/>
        <v>OK</v>
      </c>
      <c r="I310" s="11" t="str">
        <f t="shared" si="35"/>
        <v>OK</v>
      </c>
      <c r="J310" s="11" t="str">
        <f t="shared" si="36"/>
        <v>OK</v>
      </c>
      <c r="K310" s="11" t="str">
        <f t="shared" si="37"/>
        <v>OK</v>
      </c>
      <c r="R310" t="str">
        <f t="shared" si="32"/>
        <v>Keep</v>
      </c>
    </row>
    <row r="311" spans="1:18" ht="15">
      <c r="A311" s="23" t="s">
        <v>322</v>
      </c>
      <c r="B311" s="24" t="s">
        <v>7</v>
      </c>
      <c r="C311" s="24" t="s">
        <v>172</v>
      </c>
      <c r="D311" s="7">
        <v>236629</v>
      </c>
      <c r="E311" s="24" t="s">
        <v>16</v>
      </c>
      <c r="F311" s="11" t="str">
        <f t="shared" si="33"/>
        <v>OK</v>
      </c>
      <c r="G311" s="11" t="str">
        <f>IF(COUNTIFS($A:$A,A311,$E:E,E311)&gt;1,"NOK","OK")</f>
        <v>OK</v>
      </c>
      <c r="H311" s="11" t="str">
        <f t="shared" si="34"/>
        <v>OK</v>
      </c>
      <c r="I311" s="11" t="str">
        <f t="shared" si="35"/>
        <v>OK</v>
      </c>
      <c r="J311" s="11" t="str">
        <f t="shared" si="36"/>
        <v>OK</v>
      </c>
      <c r="K311" s="11" t="str">
        <f t="shared" si="37"/>
        <v>OK</v>
      </c>
      <c r="R311" t="str">
        <f t="shared" si="32"/>
        <v>Keep</v>
      </c>
    </row>
    <row r="312" spans="1:18" ht="15">
      <c r="A312" s="23" t="s">
        <v>323</v>
      </c>
      <c r="B312" s="24" t="s">
        <v>7</v>
      </c>
      <c r="C312" s="24" t="s">
        <v>172</v>
      </c>
      <c r="D312" s="7">
        <v>208437</v>
      </c>
      <c r="E312" s="24" t="s">
        <v>9</v>
      </c>
      <c r="F312" s="11" t="str">
        <f t="shared" si="33"/>
        <v>OK</v>
      </c>
      <c r="G312" s="11" t="str">
        <f>IF(COUNTIFS($A:$A,A312,$E:E,E312)&gt;1,"NOK","OK")</f>
        <v>OK</v>
      </c>
      <c r="H312" s="11" t="str">
        <f t="shared" si="34"/>
        <v>OK</v>
      </c>
      <c r="I312" s="11" t="str">
        <f t="shared" si="35"/>
        <v>OK</v>
      </c>
      <c r="J312" s="11" t="str">
        <f t="shared" si="36"/>
        <v>OK</v>
      </c>
      <c r="K312" s="11" t="str">
        <f t="shared" si="37"/>
        <v>OK</v>
      </c>
      <c r="R312" t="str">
        <f t="shared" ref="R312:R375" si="38">IF(COUNTIF(F312:K312, "NOK") &gt; 0, "Hide", "Keep")</f>
        <v>Keep</v>
      </c>
    </row>
    <row r="313" spans="1:18" ht="15">
      <c r="A313" s="23" t="s">
        <v>324</v>
      </c>
      <c r="B313" s="24" t="s">
        <v>11</v>
      </c>
      <c r="C313" s="24" t="s">
        <v>172</v>
      </c>
      <c r="D313" s="7">
        <v>146105</v>
      </c>
      <c r="E313" s="24" t="s">
        <v>9</v>
      </c>
      <c r="F313" s="11" t="str">
        <f t="shared" si="33"/>
        <v>OK</v>
      </c>
      <c r="G313" s="11" t="str">
        <f>IF(COUNTIFS($A:$A,A313,$E:E,E313)&gt;1,"NOK","OK")</f>
        <v>OK</v>
      </c>
      <c r="H313" s="11" t="str">
        <f t="shared" si="34"/>
        <v>OK</v>
      </c>
      <c r="I313" s="11" t="str">
        <f t="shared" si="35"/>
        <v>OK</v>
      </c>
      <c r="J313" s="11" t="str">
        <f t="shared" si="36"/>
        <v>OK</v>
      </c>
      <c r="K313" s="11" t="str">
        <f t="shared" si="37"/>
        <v>OK</v>
      </c>
      <c r="R313" t="str">
        <f t="shared" si="38"/>
        <v>Keep</v>
      </c>
    </row>
    <row r="314" spans="1:18" ht="15">
      <c r="A314" s="23" t="s">
        <v>325</v>
      </c>
      <c r="B314" s="24" t="s">
        <v>7</v>
      </c>
      <c r="C314" s="24" t="s">
        <v>172</v>
      </c>
      <c r="D314" s="7">
        <v>85525</v>
      </c>
      <c r="E314" s="24" t="s">
        <v>9</v>
      </c>
      <c r="F314" s="11" t="str">
        <f t="shared" si="33"/>
        <v>OK</v>
      </c>
      <c r="G314" s="11" t="str">
        <f>IF(COUNTIFS($A:$A,A314,$E:E,E314)&gt;1,"NOK","OK")</f>
        <v>OK</v>
      </c>
      <c r="H314" s="11" t="str">
        <f t="shared" si="34"/>
        <v>OK</v>
      </c>
      <c r="I314" s="11" t="str">
        <f t="shared" si="35"/>
        <v>OK</v>
      </c>
      <c r="J314" s="11" t="str">
        <f t="shared" si="36"/>
        <v>OK</v>
      </c>
      <c r="K314" s="11" t="str">
        <f t="shared" si="37"/>
        <v>OK</v>
      </c>
      <c r="R314" t="str">
        <f t="shared" si="38"/>
        <v>Keep</v>
      </c>
    </row>
    <row r="315" spans="1:18" ht="15">
      <c r="A315" s="23" t="s">
        <v>326</v>
      </c>
      <c r="B315" s="24" t="s">
        <v>11</v>
      </c>
      <c r="C315" s="24" t="s">
        <v>172</v>
      </c>
      <c r="D315" s="7">
        <v>244601</v>
      </c>
      <c r="E315" s="24" t="s">
        <v>9</v>
      </c>
      <c r="F315" s="11" t="str">
        <f t="shared" si="33"/>
        <v>OK</v>
      </c>
      <c r="G315" s="11" t="str">
        <f>IF(COUNTIFS($A:$A,A315,$E:E,E315)&gt;1,"NOK","OK")</f>
        <v>OK</v>
      </c>
      <c r="H315" s="11" t="str">
        <f t="shared" si="34"/>
        <v>OK</v>
      </c>
      <c r="I315" s="11" t="str">
        <f t="shared" si="35"/>
        <v>OK</v>
      </c>
      <c r="J315" s="11" t="str">
        <f t="shared" si="36"/>
        <v>OK</v>
      </c>
      <c r="K315" s="11" t="str">
        <f t="shared" si="37"/>
        <v>OK</v>
      </c>
      <c r="R315" t="str">
        <f t="shared" si="38"/>
        <v>Keep</v>
      </c>
    </row>
    <row r="316" spans="1:18" ht="15">
      <c r="A316" s="23" t="s">
        <v>327</v>
      </c>
      <c r="B316" s="24" t="s">
        <v>7</v>
      </c>
      <c r="C316" s="24" t="s">
        <v>172</v>
      </c>
      <c r="D316" s="7">
        <v>173498</v>
      </c>
      <c r="E316" s="24" t="s">
        <v>9</v>
      </c>
      <c r="F316" s="11" t="str">
        <f t="shared" si="33"/>
        <v>OK</v>
      </c>
      <c r="G316" s="11" t="str">
        <f>IF(COUNTIFS($A:$A,A316,$E:E,E316)&gt;1,"NOK","OK")</f>
        <v>OK</v>
      </c>
      <c r="H316" s="11" t="str">
        <f t="shared" si="34"/>
        <v>OK</v>
      </c>
      <c r="I316" s="11" t="str">
        <f t="shared" si="35"/>
        <v>OK</v>
      </c>
      <c r="J316" s="11" t="str">
        <f t="shared" si="36"/>
        <v>OK</v>
      </c>
      <c r="K316" s="11" t="str">
        <f t="shared" si="37"/>
        <v>OK</v>
      </c>
      <c r="R316" t="str">
        <f t="shared" si="38"/>
        <v>Keep</v>
      </c>
    </row>
    <row r="317" spans="1:18" ht="15">
      <c r="A317" s="23" t="s">
        <v>328</v>
      </c>
      <c r="B317" s="24" t="s">
        <v>7</v>
      </c>
      <c r="C317" s="24" t="s">
        <v>172</v>
      </c>
      <c r="D317" s="7">
        <v>69249</v>
      </c>
      <c r="E317" s="24" t="s">
        <v>9</v>
      </c>
      <c r="F317" s="11" t="str">
        <f t="shared" si="33"/>
        <v>OK</v>
      </c>
      <c r="G317" s="11" t="str">
        <f>IF(COUNTIFS($A:$A,A317,$E:E,E317)&gt;1,"NOK","OK")</f>
        <v>OK</v>
      </c>
      <c r="H317" s="11" t="str">
        <f t="shared" si="34"/>
        <v>OK</v>
      </c>
      <c r="I317" s="11" t="str">
        <f t="shared" si="35"/>
        <v>OK</v>
      </c>
      <c r="J317" s="11" t="str">
        <f t="shared" si="36"/>
        <v>OK</v>
      </c>
      <c r="K317" s="11" t="str">
        <f t="shared" si="37"/>
        <v>OK</v>
      </c>
      <c r="R317" t="str">
        <f t="shared" si="38"/>
        <v>Keep</v>
      </c>
    </row>
    <row r="318" spans="1:18" ht="15">
      <c r="A318" s="23" t="s">
        <v>329</v>
      </c>
      <c r="B318" s="24" t="s">
        <v>11</v>
      </c>
      <c r="C318" s="24" t="s">
        <v>172</v>
      </c>
      <c r="D318" s="7">
        <v>246827</v>
      </c>
      <c r="E318" s="24" t="s">
        <v>9</v>
      </c>
      <c r="F318" s="11" t="str">
        <f t="shared" si="33"/>
        <v>OK</v>
      </c>
      <c r="G318" s="11" t="str">
        <f>IF(COUNTIFS($A:$A,A318,$E:E,E318)&gt;1,"NOK","OK")</f>
        <v>OK</v>
      </c>
      <c r="H318" s="11" t="str">
        <f t="shared" si="34"/>
        <v>OK</v>
      </c>
      <c r="I318" s="11" t="str">
        <f t="shared" si="35"/>
        <v>OK</v>
      </c>
      <c r="J318" s="11" t="str">
        <f t="shared" si="36"/>
        <v>OK</v>
      </c>
      <c r="K318" s="11" t="str">
        <f t="shared" si="37"/>
        <v>OK</v>
      </c>
      <c r="R318" t="str">
        <f t="shared" si="38"/>
        <v>Keep</v>
      </c>
    </row>
    <row r="319" spans="1:18" ht="15">
      <c r="A319" s="23" t="s">
        <v>330</v>
      </c>
      <c r="B319" s="24" t="s">
        <v>7</v>
      </c>
      <c r="C319" s="24" t="s">
        <v>172</v>
      </c>
      <c r="D319" s="7">
        <v>263087</v>
      </c>
      <c r="E319" s="24" t="s">
        <v>12</v>
      </c>
      <c r="F319" s="11" t="str">
        <f t="shared" si="33"/>
        <v>OK</v>
      </c>
      <c r="G319" s="11" t="str">
        <f>IF(COUNTIFS($A:$A,A319,$E:E,E319)&gt;1,"NOK","OK")</f>
        <v>OK</v>
      </c>
      <c r="H319" s="11" t="str">
        <f t="shared" si="34"/>
        <v>OK</v>
      </c>
      <c r="I319" s="11" t="str">
        <f t="shared" si="35"/>
        <v>OK</v>
      </c>
      <c r="J319" s="11" t="str">
        <f t="shared" si="36"/>
        <v>OK</v>
      </c>
      <c r="K319" s="11" t="str">
        <f t="shared" si="37"/>
        <v>OK</v>
      </c>
      <c r="R319" t="str">
        <f t="shared" si="38"/>
        <v>Keep</v>
      </c>
    </row>
    <row r="320" spans="1:18" ht="15">
      <c r="A320" s="23" t="s">
        <v>331</v>
      </c>
      <c r="B320" s="24" t="s">
        <v>237</v>
      </c>
      <c r="C320" s="24" t="s">
        <v>172</v>
      </c>
      <c r="D320" s="7">
        <v>23757</v>
      </c>
      <c r="E320" s="24" t="s">
        <v>12</v>
      </c>
      <c r="F320" s="11" t="str">
        <f t="shared" si="33"/>
        <v>OK</v>
      </c>
      <c r="G320" s="11" t="str">
        <f>IF(COUNTIFS($A:$A,A320,$E:E,E320)&gt;1,"NOK","OK")</f>
        <v>OK</v>
      </c>
      <c r="H320" s="11" t="str">
        <f t="shared" si="34"/>
        <v>OK</v>
      </c>
      <c r="I320" s="11" t="str">
        <f t="shared" si="35"/>
        <v>OK</v>
      </c>
      <c r="J320" s="11" t="str">
        <f t="shared" si="36"/>
        <v>OK</v>
      </c>
      <c r="K320" s="11" t="str">
        <f t="shared" si="37"/>
        <v>OK</v>
      </c>
      <c r="R320" t="str">
        <f t="shared" si="38"/>
        <v>Keep</v>
      </c>
    </row>
    <row r="321" spans="1:18" ht="15">
      <c r="A321" s="23" t="s">
        <v>332</v>
      </c>
      <c r="B321" s="24" t="s">
        <v>7</v>
      </c>
      <c r="C321" s="24" t="s">
        <v>172</v>
      </c>
      <c r="D321" s="7">
        <v>173794</v>
      </c>
      <c r="E321" s="24" t="s">
        <v>9</v>
      </c>
      <c r="F321" s="11" t="str">
        <f t="shared" si="33"/>
        <v>OK</v>
      </c>
      <c r="G321" s="11" t="str">
        <f>IF(COUNTIFS($A:$A,A321,$E:E,E321)&gt;1,"NOK","OK")</f>
        <v>OK</v>
      </c>
      <c r="H321" s="11" t="str">
        <f t="shared" si="34"/>
        <v>OK</v>
      </c>
      <c r="I321" s="11" t="str">
        <f t="shared" si="35"/>
        <v>OK</v>
      </c>
      <c r="J321" s="11" t="str">
        <f t="shared" si="36"/>
        <v>OK</v>
      </c>
      <c r="K321" s="11" t="str">
        <f t="shared" si="37"/>
        <v>OK</v>
      </c>
      <c r="R321" t="str">
        <f t="shared" si="38"/>
        <v>Keep</v>
      </c>
    </row>
    <row r="322" spans="1:18" ht="15">
      <c r="A322" s="23" t="s">
        <v>333</v>
      </c>
      <c r="B322" s="24" t="s">
        <v>11</v>
      </c>
      <c r="C322" s="24" t="s">
        <v>172</v>
      </c>
      <c r="D322" s="7">
        <v>130112</v>
      </c>
      <c r="E322" s="24" t="s">
        <v>12</v>
      </c>
      <c r="F322" s="11" t="str">
        <f t="shared" si="33"/>
        <v>OK</v>
      </c>
      <c r="G322" s="11" t="str">
        <f>IF(COUNTIFS($A:$A,A322,$E:E,E322)&gt;1,"NOK","OK")</f>
        <v>OK</v>
      </c>
      <c r="H322" s="11" t="str">
        <f t="shared" si="34"/>
        <v>OK</v>
      </c>
      <c r="I322" s="11" t="str">
        <f t="shared" si="35"/>
        <v>OK</v>
      </c>
      <c r="J322" s="11" t="str">
        <f t="shared" si="36"/>
        <v>OK</v>
      </c>
      <c r="K322" s="11" t="str">
        <f t="shared" si="37"/>
        <v>OK</v>
      </c>
      <c r="R322" t="str">
        <f t="shared" si="38"/>
        <v>Keep</v>
      </c>
    </row>
    <row r="323" spans="1:18" ht="15">
      <c r="A323" s="23" t="s">
        <v>334</v>
      </c>
      <c r="B323" s="24" t="s">
        <v>11</v>
      </c>
      <c r="C323" s="24" t="s">
        <v>172</v>
      </c>
      <c r="D323" s="7">
        <v>44633</v>
      </c>
      <c r="E323" s="24" t="s">
        <v>12</v>
      </c>
      <c r="F323" s="11" t="str">
        <f t="shared" si="33"/>
        <v>OK</v>
      </c>
      <c r="G323" s="11" t="str">
        <f>IF(COUNTIFS($A:$A,A323,$E:E,E323)&gt;1,"NOK","OK")</f>
        <v>OK</v>
      </c>
      <c r="H323" s="11" t="str">
        <f t="shared" si="34"/>
        <v>OK</v>
      </c>
      <c r="I323" s="11" t="str">
        <f t="shared" si="35"/>
        <v>OK</v>
      </c>
      <c r="J323" s="11" t="str">
        <f t="shared" si="36"/>
        <v>OK</v>
      </c>
      <c r="K323" s="11" t="str">
        <f t="shared" si="37"/>
        <v>OK</v>
      </c>
      <c r="R323" t="str">
        <f t="shared" si="38"/>
        <v>Keep</v>
      </c>
    </row>
    <row r="324" spans="1:18" ht="15">
      <c r="A324" s="23" t="s">
        <v>335</v>
      </c>
      <c r="B324" s="24" t="s">
        <v>7</v>
      </c>
      <c r="C324" s="24" t="s">
        <v>172</v>
      </c>
      <c r="D324" s="7">
        <v>112626</v>
      </c>
      <c r="E324" s="24" t="s">
        <v>12</v>
      </c>
      <c r="F324" s="11" t="str">
        <f t="shared" ref="F324:F387" si="39">IF(COUNTA($A324:$E324),"OK","NOK")</f>
        <v>OK</v>
      </c>
      <c r="G324" s="11" t="str">
        <f>IF(COUNTIFS($A:$A,A324,$E:E,E324)&gt;1,"NOK","OK")</f>
        <v>OK</v>
      </c>
      <c r="H324" s="11" t="str">
        <f t="shared" ref="H324:H387" si="40">IF(OR(B324="Corporate", B324="Emerging", B324="Enterprise", B324="Small Business"),"OK","NOK")</f>
        <v>OK</v>
      </c>
      <c r="I324" s="11" t="str">
        <f t="shared" ref="I324:I387" si="41">IF(OR(C324="ANZ", C324="DACH", C324="France", C324="North America", C324="UK"),"OK","NOK")</f>
        <v>OK</v>
      </c>
      <c r="J324" s="11" t="str">
        <f t="shared" ref="J324:J387" si="42">IF(OR(D324&lt;=0, D324&gt;300000),"NOK","OK")</f>
        <v>OK</v>
      </c>
      <c r="K324" s="11" t="str">
        <f t="shared" ref="K324:K387" si="43">IF(OR(E324="FY23", E324="FY24", E324="FY25"),"OK","NOK")</f>
        <v>OK</v>
      </c>
      <c r="R324" t="str">
        <f t="shared" si="38"/>
        <v>Keep</v>
      </c>
    </row>
    <row r="325" spans="1:18" ht="15">
      <c r="A325" s="23" t="s">
        <v>336</v>
      </c>
      <c r="B325" s="24" t="s">
        <v>7</v>
      </c>
      <c r="C325" s="24" t="s">
        <v>172</v>
      </c>
      <c r="D325" s="7">
        <v>203699</v>
      </c>
      <c r="E325" s="24" t="s">
        <v>16</v>
      </c>
      <c r="F325" s="11" t="str">
        <f t="shared" si="39"/>
        <v>OK</v>
      </c>
      <c r="G325" s="11" t="str">
        <f>IF(COUNTIFS($A:$A,A325,$E:E,E325)&gt;1,"NOK","OK")</f>
        <v>OK</v>
      </c>
      <c r="H325" s="11" t="str">
        <f t="shared" si="40"/>
        <v>OK</v>
      </c>
      <c r="I325" s="11" t="str">
        <f t="shared" si="41"/>
        <v>OK</v>
      </c>
      <c r="J325" s="11" t="str">
        <f t="shared" si="42"/>
        <v>OK</v>
      </c>
      <c r="K325" s="11" t="str">
        <f t="shared" si="43"/>
        <v>OK</v>
      </c>
      <c r="R325" t="str">
        <f t="shared" si="38"/>
        <v>Keep</v>
      </c>
    </row>
    <row r="326" spans="1:18" ht="15">
      <c r="A326" s="23" t="s">
        <v>337</v>
      </c>
      <c r="B326" s="24" t="s">
        <v>7</v>
      </c>
      <c r="C326" s="24" t="s">
        <v>172</v>
      </c>
      <c r="D326" s="7">
        <v>278108</v>
      </c>
      <c r="E326" s="24" t="s">
        <v>12</v>
      </c>
      <c r="F326" s="11" t="str">
        <f t="shared" si="39"/>
        <v>OK</v>
      </c>
      <c r="G326" s="11" t="str">
        <f>IF(COUNTIFS($A:$A,A326,$E:E,E326)&gt;1,"NOK","OK")</f>
        <v>OK</v>
      </c>
      <c r="H326" s="11" t="str">
        <f t="shared" si="40"/>
        <v>OK</v>
      </c>
      <c r="I326" s="11" t="str">
        <f t="shared" si="41"/>
        <v>OK</v>
      </c>
      <c r="J326" s="11" t="str">
        <f t="shared" si="42"/>
        <v>OK</v>
      </c>
      <c r="K326" s="11" t="str">
        <f t="shared" si="43"/>
        <v>OK</v>
      </c>
      <c r="R326" t="str">
        <f t="shared" si="38"/>
        <v>Keep</v>
      </c>
    </row>
    <row r="327" spans="1:18" ht="15">
      <c r="A327" s="23" t="s">
        <v>338</v>
      </c>
      <c r="B327" s="24" t="s">
        <v>25</v>
      </c>
      <c r="C327" s="24" t="s">
        <v>172</v>
      </c>
      <c r="D327" s="7">
        <v>125798</v>
      </c>
      <c r="E327" s="24" t="s">
        <v>16</v>
      </c>
      <c r="F327" s="11" t="str">
        <f t="shared" si="39"/>
        <v>OK</v>
      </c>
      <c r="G327" s="11" t="str">
        <f>IF(COUNTIFS($A:$A,A327,$E:E,E327)&gt;1,"NOK","OK")</f>
        <v>OK</v>
      </c>
      <c r="H327" s="11" t="str">
        <f t="shared" si="40"/>
        <v>OK</v>
      </c>
      <c r="I327" s="11" t="str">
        <f t="shared" si="41"/>
        <v>OK</v>
      </c>
      <c r="J327" s="11" t="str">
        <f t="shared" si="42"/>
        <v>OK</v>
      </c>
      <c r="K327" s="11" t="str">
        <f t="shared" si="43"/>
        <v>OK</v>
      </c>
      <c r="R327" t="str">
        <f t="shared" si="38"/>
        <v>Keep</v>
      </c>
    </row>
    <row r="328" spans="1:18" ht="15">
      <c r="A328" s="23" t="s">
        <v>339</v>
      </c>
      <c r="B328" s="24" t="s">
        <v>11</v>
      </c>
      <c r="C328" s="24" t="s">
        <v>172</v>
      </c>
      <c r="D328" s="7">
        <v>164136</v>
      </c>
      <c r="E328" s="24" t="s">
        <v>12</v>
      </c>
      <c r="F328" s="11" t="str">
        <f t="shared" si="39"/>
        <v>OK</v>
      </c>
      <c r="G328" s="11" t="str">
        <f>IF(COUNTIFS($A:$A,A328,$E:E,E328)&gt;1,"NOK","OK")</f>
        <v>OK</v>
      </c>
      <c r="H328" s="11" t="str">
        <f t="shared" si="40"/>
        <v>OK</v>
      </c>
      <c r="I328" s="11" t="str">
        <f t="shared" si="41"/>
        <v>OK</v>
      </c>
      <c r="J328" s="11" t="str">
        <f t="shared" si="42"/>
        <v>OK</v>
      </c>
      <c r="K328" s="11" t="str">
        <f t="shared" si="43"/>
        <v>OK</v>
      </c>
      <c r="R328" t="str">
        <f t="shared" si="38"/>
        <v>Keep</v>
      </c>
    </row>
    <row r="329" spans="1:18" ht="15">
      <c r="A329" s="23" t="s">
        <v>340</v>
      </c>
      <c r="B329" s="24" t="s">
        <v>11</v>
      </c>
      <c r="C329" s="24" t="s">
        <v>172</v>
      </c>
      <c r="D329" s="7">
        <v>109223</v>
      </c>
      <c r="E329" s="24" t="s">
        <v>16</v>
      </c>
      <c r="F329" s="11" t="str">
        <f t="shared" si="39"/>
        <v>OK</v>
      </c>
      <c r="G329" s="11" t="str">
        <f>IF(COUNTIFS($A:$A,A329,$E:E,E329)&gt;1,"NOK","OK")</f>
        <v>OK</v>
      </c>
      <c r="H329" s="11" t="str">
        <f t="shared" si="40"/>
        <v>OK</v>
      </c>
      <c r="I329" s="11" t="str">
        <f t="shared" si="41"/>
        <v>OK</v>
      </c>
      <c r="J329" s="11" t="str">
        <f t="shared" si="42"/>
        <v>OK</v>
      </c>
      <c r="K329" s="11" t="str">
        <f t="shared" si="43"/>
        <v>OK</v>
      </c>
      <c r="R329" t="str">
        <f t="shared" si="38"/>
        <v>Keep</v>
      </c>
    </row>
    <row r="330" spans="1:18" ht="15">
      <c r="A330" s="23" t="s">
        <v>341</v>
      </c>
      <c r="B330" s="24" t="s">
        <v>11</v>
      </c>
      <c r="C330" s="24" t="s">
        <v>172</v>
      </c>
      <c r="D330" s="7">
        <v>209484</v>
      </c>
      <c r="E330" s="24" t="s">
        <v>12</v>
      </c>
      <c r="F330" s="11" t="str">
        <f t="shared" si="39"/>
        <v>OK</v>
      </c>
      <c r="G330" s="11" t="str">
        <f>IF(COUNTIFS($A:$A,A330,$E:E,E330)&gt;1,"NOK","OK")</f>
        <v>OK</v>
      </c>
      <c r="H330" s="11" t="str">
        <f t="shared" si="40"/>
        <v>OK</v>
      </c>
      <c r="I330" s="11" t="str">
        <f t="shared" si="41"/>
        <v>OK</v>
      </c>
      <c r="J330" s="11" t="str">
        <f t="shared" si="42"/>
        <v>OK</v>
      </c>
      <c r="K330" s="11" t="str">
        <f t="shared" si="43"/>
        <v>OK</v>
      </c>
      <c r="R330" t="str">
        <f t="shared" si="38"/>
        <v>Keep</v>
      </c>
    </row>
    <row r="331" spans="1:18" ht="15">
      <c r="A331" s="23" t="s">
        <v>342</v>
      </c>
      <c r="B331" s="24" t="s">
        <v>7</v>
      </c>
      <c r="C331" s="24" t="s">
        <v>172</v>
      </c>
      <c r="D331" s="7">
        <v>187427</v>
      </c>
      <c r="E331" s="24" t="s">
        <v>16</v>
      </c>
      <c r="F331" s="11" t="str">
        <f t="shared" si="39"/>
        <v>OK</v>
      </c>
      <c r="G331" s="11" t="str">
        <f>IF(COUNTIFS($A:$A,A331,$E:E,E331)&gt;1,"NOK","OK")</f>
        <v>OK</v>
      </c>
      <c r="H331" s="11" t="str">
        <f t="shared" si="40"/>
        <v>OK</v>
      </c>
      <c r="I331" s="11" t="str">
        <f t="shared" si="41"/>
        <v>OK</v>
      </c>
      <c r="J331" s="11" t="str">
        <f t="shared" si="42"/>
        <v>OK</v>
      </c>
      <c r="K331" s="11" t="str">
        <f t="shared" si="43"/>
        <v>OK</v>
      </c>
      <c r="R331" t="str">
        <f t="shared" si="38"/>
        <v>Keep</v>
      </c>
    </row>
    <row r="332" spans="1:18" ht="15">
      <c r="A332" s="23" t="s">
        <v>343</v>
      </c>
      <c r="B332" s="24" t="s">
        <v>11</v>
      </c>
      <c r="C332" s="24" t="s">
        <v>172</v>
      </c>
      <c r="D332" s="7">
        <v>94250</v>
      </c>
      <c r="E332" s="24" t="s">
        <v>9</v>
      </c>
      <c r="F332" s="11" t="str">
        <f t="shared" si="39"/>
        <v>OK</v>
      </c>
      <c r="G332" s="11" t="str">
        <f>IF(COUNTIFS($A:$A,A332,$E:E,E332)&gt;1,"NOK","OK")</f>
        <v>OK</v>
      </c>
      <c r="H332" s="11" t="str">
        <f t="shared" si="40"/>
        <v>OK</v>
      </c>
      <c r="I332" s="11" t="str">
        <f t="shared" si="41"/>
        <v>OK</v>
      </c>
      <c r="J332" s="11" t="str">
        <f t="shared" si="42"/>
        <v>OK</v>
      </c>
      <c r="K332" s="11" t="str">
        <f t="shared" si="43"/>
        <v>OK</v>
      </c>
      <c r="R332" t="str">
        <f t="shared" si="38"/>
        <v>Keep</v>
      </c>
    </row>
    <row r="333" spans="1:18" ht="15">
      <c r="A333" s="23" t="s">
        <v>344</v>
      </c>
      <c r="B333" s="24" t="s">
        <v>7</v>
      </c>
      <c r="C333" s="24" t="s">
        <v>172</v>
      </c>
      <c r="D333" s="7">
        <v>179150</v>
      </c>
      <c r="E333" s="24" t="s">
        <v>16</v>
      </c>
      <c r="F333" s="11" t="str">
        <f t="shared" si="39"/>
        <v>OK</v>
      </c>
      <c r="G333" s="11" t="str">
        <f>IF(COUNTIFS($A:$A,A333,$E:E,E333)&gt;1,"NOK","OK")</f>
        <v>OK</v>
      </c>
      <c r="H333" s="11" t="str">
        <f t="shared" si="40"/>
        <v>OK</v>
      </c>
      <c r="I333" s="11" t="str">
        <f t="shared" si="41"/>
        <v>OK</v>
      </c>
      <c r="J333" s="11" t="str">
        <f t="shared" si="42"/>
        <v>OK</v>
      </c>
      <c r="K333" s="11" t="str">
        <f t="shared" si="43"/>
        <v>OK</v>
      </c>
      <c r="R333" t="str">
        <f t="shared" si="38"/>
        <v>Keep</v>
      </c>
    </row>
    <row r="334" spans="1:18" ht="15">
      <c r="A334" s="23" t="s">
        <v>345</v>
      </c>
      <c r="B334" s="24" t="s">
        <v>11</v>
      </c>
      <c r="C334" s="24" t="s">
        <v>172</v>
      </c>
      <c r="D334" s="7">
        <v>90244</v>
      </c>
      <c r="E334" s="24" t="s">
        <v>9</v>
      </c>
      <c r="F334" s="11" t="str">
        <f t="shared" si="39"/>
        <v>OK</v>
      </c>
      <c r="G334" s="11" t="str">
        <f>IF(COUNTIFS($A:$A,A334,$E:E,E334)&gt;1,"NOK","OK")</f>
        <v>OK</v>
      </c>
      <c r="H334" s="11" t="str">
        <f t="shared" si="40"/>
        <v>OK</v>
      </c>
      <c r="I334" s="11" t="str">
        <f t="shared" si="41"/>
        <v>OK</v>
      </c>
      <c r="J334" s="11" t="str">
        <f t="shared" si="42"/>
        <v>OK</v>
      </c>
      <c r="K334" s="11" t="str">
        <f t="shared" si="43"/>
        <v>OK</v>
      </c>
      <c r="R334" t="str">
        <f t="shared" si="38"/>
        <v>Keep</v>
      </c>
    </row>
    <row r="335" spans="1:18" ht="15">
      <c r="A335" s="23" t="s">
        <v>346</v>
      </c>
      <c r="B335" s="24" t="s">
        <v>11</v>
      </c>
      <c r="C335" s="24" t="s">
        <v>172</v>
      </c>
      <c r="D335" s="7">
        <v>226866</v>
      </c>
      <c r="E335" s="24" t="s">
        <v>12</v>
      </c>
      <c r="F335" s="11" t="str">
        <f t="shared" si="39"/>
        <v>OK</v>
      </c>
      <c r="G335" s="11" t="str">
        <f>IF(COUNTIFS($A:$A,A335,$E:E,E335)&gt;1,"NOK","OK")</f>
        <v>OK</v>
      </c>
      <c r="H335" s="11" t="str">
        <f t="shared" si="40"/>
        <v>OK</v>
      </c>
      <c r="I335" s="11" t="str">
        <f t="shared" si="41"/>
        <v>OK</v>
      </c>
      <c r="J335" s="11" t="str">
        <f t="shared" si="42"/>
        <v>OK</v>
      </c>
      <c r="K335" s="11" t="str">
        <f t="shared" si="43"/>
        <v>OK</v>
      </c>
      <c r="R335" t="str">
        <f t="shared" si="38"/>
        <v>Keep</v>
      </c>
    </row>
    <row r="336" spans="1:18" ht="15">
      <c r="A336" s="23" t="s">
        <v>347</v>
      </c>
      <c r="B336" s="24" t="s">
        <v>7</v>
      </c>
      <c r="C336" s="24" t="s">
        <v>172</v>
      </c>
      <c r="D336" s="7">
        <v>29667</v>
      </c>
      <c r="E336" s="24" t="s">
        <v>12</v>
      </c>
      <c r="F336" s="11" t="str">
        <f t="shared" si="39"/>
        <v>OK</v>
      </c>
      <c r="G336" s="11" t="str">
        <f>IF(COUNTIFS($A:$A,A336,$E:E,E336)&gt;1,"NOK","OK")</f>
        <v>OK</v>
      </c>
      <c r="H336" s="11" t="str">
        <f t="shared" si="40"/>
        <v>OK</v>
      </c>
      <c r="I336" s="11" t="str">
        <f t="shared" si="41"/>
        <v>OK</v>
      </c>
      <c r="J336" s="11" t="str">
        <f t="shared" si="42"/>
        <v>OK</v>
      </c>
      <c r="K336" s="11" t="str">
        <f t="shared" si="43"/>
        <v>OK</v>
      </c>
      <c r="R336" t="str">
        <f t="shared" si="38"/>
        <v>Keep</v>
      </c>
    </row>
    <row r="337" spans="1:18" ht="15">
      <c r="A337" s="23" t="s">
        <v>348</v>
      </c>
      <c r="B337" s="24" t="s">
        <v>7</v>
      </c>
      <c r="C337" s="24" t="s">
        <v>172</v>
      </c>
      <c r="D337" s="7">
        <v>275292</v>
      </c>
      <c r="E337" s="24" t="s">
        <v>9</v>
      </c>
      <c r="F337" s="11" t="str">
        <f t="shared" si="39"/>
        <v>OK</v>
      </c>
      <c r="G337" s="11" t="str">
        <f>IF(COUNTIFS($A:$A,A337,$E:E,E337)&gt;1,"NOK","OK")</f>
        <v>OK</v>
      </c>
      <c r="H337" s="11" t="str">
        <f t="shared" si="40"/>
        <v>OK</v>
      </c>
      <c r="I337" s="11" t="str">
        <f t="shared" si="41"/>
        <v>OK</v>
      </c>
      <c r="J337" s="11" t="str">
        <f t="shared" si="42"/>
        <v>OK</v>
      </c>
      <c r="K337" s="11" t="str">
        <f t="shared" si="43"/>
        <v>OK</v>
      </c>
      <c r="R337" t="str">
        <f t="shared" si="38"/>
        <v>Keep</v>
      </c>
    </row>
    <row r="338" spans="1:18" ht="15">
      <c r="A338" s="23" t="s">
        <v>349</v>
      </c>
      <c r="B338" s="24" t="s">
        <v>7</v>
      </c>
      <c r="C338" s="24" t="s">
        <v>172</v>
      </c>
      <c r="D338" s="7">
        <v>65922</v>
      </c>
      <c r="E338" s="24" t="s">
        <v>9</v>
      </c>
      <c r="F338" s="11" t="str">
        <f t="shared" si="39"/>
        <v>OK</v>
      </c>
      <c r="G338" s="11" t="str">
        <f>IF(COUNTIFS($A:$A,A338,$E:E,E338)&gt;1,"NOK","OK")</f>
        <v>OK</v>
      </c>
      <c r="H338" s="11" t="str">
        <f t="shared" si="40"/>
        <v>OK</v>
      </c>
      <c r="I338" s="11" t="str">
        <f t="shared" si="41"/>
        <v>OK</v>
      </c>
      <c r="J338" s="11" t="str">
        <f t="shared" si="42"/>
        <v>OK</v>
      </c>
      <c r="K338" s="11" t="str">
        <f t="shared" si="43"/>
        <v>OK</v>
      </c>
      <c r="R338" t="str">
        <f t="shared" si="38"/>
        <v>Keep</v>
      </c>
    </row>
    <row r="339" spans="1:18" ht="15">
      <c r="A339" s="23" t="s">
        <v>350</v>
      </c>
      <c r="B339" s="24" t="s">
        <v>11</v>
      </c>
      <c r="C339" s="24" t="s">
        <v>172</v>
      </c>
      <c r="D339" s="7">
        <v>3034</v>
      </c>
      <c r="E339" s="24" t="s">
        <v>9</v>
      </c>
      <c r="F339" s="11" t="str">
        <f t="shared" si="39"/>
        <v>OK</v>
      </c>
      <c r="G339" s="11" t="str">
        <f>IF(COUNTIFS($A:$A,A339,$E:E,E339)&gt;1,"NOK","OK")</f>
        <v>OK</v>
      </c>
      <c r="H339" s="11" t="str">
        <f t="shared" si="40"/>
        <v>OK</v>
      </c>
      <c r="I339" s="11" t="str">
        <f t="shared" si="41"/>
        <v>OK</v>
      </c>
      <c r="J339" s="11" t="str">
        <f t="shared" si="42"/>
        <v>OK</v>
      </c>
      <c r="K339" s="11" t="str">
        <f t="shared" si="43"/>
        <v>OK</v>
      </c>
      <c r="R339" t="str">
        <f t="shared" si="38"/>
        <v>Keep</v>
      </c>
    </row>
    <row r="340" spans="1:18" ht="15">
      <c r="A340" s="23" t="s">
        <v>351</v>
      </c>
      <c r="B340" s="24" t="s">
        <v>7</v>
      </c>
      <c r="C340" s="24" t="s">
        <v>172</v>
      </c>
      <c r="D340" s="7">
        <v>114410</v>
      </c>
      <c r="E340" s="24" t="s">
        <v>16</v>
      </c>
      <c r="F340" s="11" t="str">
        <f t="shared" si="39"/>
        <v>OK</v>
      </c>
      <c r="G340" s="11" t="str">
        <f>IF(COUNTIFS($A:$A,A340,$E:E,E340)&gt;1,"NOK","OK")</f>
        <v>OK</v>
      </c>
      <c r="H340" s="11" t="str">
        <f t="shared" si="40"/>
        <v>OK</v>
      </c>
      <c r="I340" s="11" t="str">
        <f t="shared" si="41"/>
        <v>OK</v>
      </c>
      <c r="J340" s="11" t="str">
        <f t="shared" si="42"/>
        <v>OK</v>
      </c>
      <c r="K340" s="11" t="str">
        <f t="shared" si="43"/>
        <v>OK</v>
      </c>
      <c r="R340" t="str">
        <f t="shared" si="38"/>
        <v>Keep</v>
      </c>
    </row>
    <row r="341" spans="1:18" ht="15">
      <c r="A341" s="23" t="s">
        <v>352</v>
      </c>
      <c r="B341" s="24" t="s">
        <v>7</v>
      </c>
      <c r="C341" s="24" t="s">
        <v>172</v>
      </c>
      <c r="D341" s="7">
        <v>230936</v>
      </c>
      <c r="E341" s="24" t="s">
        <v>12</v>
      </c>
      <c r="F341" s="11" t="str">
        <f t="shared" si="39"/>
        <v>OK</v>
      </c>
      <c r="G341" s="11" t="str">
        <f>IF(COUNTIFS($A:$A,A341,$E:E,E341)&gt;1,"NOK","OK")</f>
        <v>OK</v>
      </c>
      <c r="H341" s="11" t="str">
        <f t="shared" si="40"/>
        <v>OK</v>
      </c>
      <c r="I341" s="11" t="str">
        <f t="shared" si="41"/>
        <v>OK</v>
      </c>
      <c r="J341" s="11" t="str">
        <f t="shared" si="42"/>
        <v>OK</v>
      </c>
      <c r="K341" s="11" t="str">
        <f t="shared" si="43"/>
        <v>OK</v>
      </c>
      <c r="R341" t="str">
        <f t="shared" si="38"/>
        <v>Keep</v>
      </c>
    </row>
    <row r="342" spans="1:18" ht="15">
      <c r="A342" s="23" t="s">
        <v>353</v>
      </c>
      <c r="B342" s="24" t="s">
        <v>7</v>
      </c>
      <c r="C342" s="24" t="s">
        <v>172</v>
      </c>
      <c r="D342" s="7">
        <v>96810</v>
      </c>
      <c r="E342" s="24" t="s">
        <v>16</v>
      </c>
      <c r="F342" s="11" t="str">
        <f t="shared" si="39"/>
        <v>OK</v>
      </c>
      <c r="G342" s="11" t="str">
        <f>IF(COUNTIFS($A:$A,A342,$E:E,E342)&gt;1,"NOK","OK")</f>
        <v>OK</v>
      </c>
      <c r="H342" s="11" t="str">
        <f t="shared" si="40"/>
        <v>OK</v>
      </c>
      <c r="I342" s="11" t="str">
        <f t="shared" si="41"/>
        <v>OK</v>
      </c>
      <c r="J342" s="11" t="str">
        <f t="shared" si="42"/>
        <v>OK</v>
      </c>
      <c r="K342" s="11" t="str">
        <f t="shared" si="43"/>
        <v>OK</v>
      </c>
      <c r="R342" t="str">
        <f t="shared" si="38"/>
        <v>Keep</v>
      </c>
    </row>
    <row r="343" spans="1:18" ht="15">
      <c r="A343" s="23" t="s">
        <v>354</v>
      </c>
      <c r="B343" s="24" t="s">
        <v>11</v>
      </c>
      <c r="C343" s="24" t="s">
        <v>172</v>
      </c>
      <c r="D343" s="7">
        <v>140986</v>
      </c>
      <c r="E343" s="24" t="s">
        <v>16</v>
      </c>
      <c r="F343" s="11" t="str">
        <f t="shared" si="39"/>
        <v>OK</v>
      </c>
      <c r="G343" s="11" t="str">
        <f>IF(COUNTIFS($A:$A,A343,$E:E,E343)&gt;1,"NOK","OK")</f>
        <v>OK</v>
      </c>
      <c r="H343" s="11" t="str">
        <f t="shared" si="40"/>
        <v>OK</v>
      </c>
      <c r="I343" s="11" t="str">
        <f t="shared" si="41"/>
        <v>OK</v>
      </c>
      <c r="J343" s="11" t="str">
        <f t="shared" si="42"/>
        <v>OK</v>
      </c>
      <c r="K343" s="11" t="str">
        <f t="shared" si="43"/>
        <v>OK</v>
      </c>
      <c r="R343" t="str">
        <f t="shared" si="38"/>
        <v>Keep</v>
      </c>
    </row>
    <row r="344" spans="1:18" ht="15">
      <c r="A344" s="23" t="s">
        <v>355</v>
      </c>
      <c r="B344" s="24" t="s">
        <v>7</v>
      </c>
      <c r="C344" s="24" t="s">
        <v>172</v>
      </c>
      <c r="D344" s="7">
        <v>241291</v>
      </c>
      <c r="E344" s="24" t="s">
        <v>12</v>
      </c>
      <c r="F344" s="11" t="str">
        <f t="shared" si="39"/>
        <v>OK</v>
      </c>
      <c r="G344" s="11" t="str">
        <f>IF(COUNTIFS($A:$A,A344,$E:E,E344)&gt;1,"NOK","OK")</f>
        <v>OK</v>
      </c>
      <c r="H344" s="11" t="str">
        <f t="shared" si="40"/>
        <v>OK</v>
      </c>
      <c r="I344" s="11" t="str">
        <f t="shared" si="41"/>
        <v>OK</v>
      </c>
      <c r="J344" s="11" t="str">
        <f t="shared" si="42"/>
        <v>OK</v>
      </c>
      <c r="K344" s="11" t="str">
        <f t="shared" si="43"/>
        <v>OK</v>
      </c>
      <c r="R344" t="str">
        <f t="shared" si="38"/>
        <v>Keep</v>
      </c>
    </row>
    <row r="345" spans="1:18" ht="15">
      <c r="A345" s="23" t="s">
        <v>356</v>
      </c>
      <c r="B345" s="24" t="s">
        <v>7</v>
      </c>
      <c r="C345" s="24" t="s">
        <v>172</v>
      </c>
      <c r="D345" s="7">
        <v>136513</v>
      </c>
      <c r="E345" s="24" t="s">
        <v>9</v>
      </c>
      <c r="F345" s="11" t="str">
        <f t="shared" si="39"/>
        <v>OK</v>
      </c>
      <c r="G345" s="11" t="str">
        <f>IF(COUNTIFS($A:$A,A345,$E:E,E345)&gt;1,"NOK","OK")</f>
        <v>OK</v>
      </c>
      <c r="H345" s="11" t="str">
        <f t="shared" si="40"/>
        <v>OK</v>
      </c>
      <c r="I345" s="11" t="str">
        <f t="shared" si="41"/>
        <v>OK</v>
      </c>
      <c r="J345" s="11" t="str">
        <f t="shared" si="42"/>
        <v>OK</v>
      </c>
      <c r="K345" s="11" t="str">
        <f t="shared" si="43"/>
        <v>OK</v>
      </c>
      <c r="R345" t="str">
        <f t="shared" si="38"/>
        <v>Keep</v>
      </c>
    </row>
    <row r="346" spans="1:18" ht="15">
      <c r="A346" s="23" t="s">
        <v>357</v>
      </c>
      <c r="B346" s="24" t="s">
        <v>7</v>
      </c>
      <c r="C346" s="24" t="s">
        <v>172</v>
      </c>
      <c r="D346" s="7">
        <v>158628</v>
      </c>
      <c r="E346" s="24" t="s">
        <v>16</v>
      </c>
      <c r="F346" s="11" t="str">
        <f t="shared" si="39"/>
        <v>OK</v>
      </c>
      <c r="G346" s="11" t="str">
        <f>IF(COUNTIFS($A:$A,A346,$E:E,E346)&gt;1,"NOK","OK")</f>
        <v>OK</v>
      </c>
      <c r="H346" s="11" t="str">
        <f t="shared" si="40"/>
        <v>OK</v>
      </c>
      <c r="I346" s="11" t="str">
        <f t="shared" si="41"/>
        <v>OK</v>
      </c>
      <c r="J346" s="11" t="str">
        <f t="shared" si="42"/>
        <v>OK</v>
      </c>
      <c r="K346" s="11" t="str">
        <f t="shared" si="43"/>
        <v>OK</v>
      </c>
      <c r="R346" t="str">
        <f t="shared" si="38"/>
        <v>Keep</v>
      </c>
    </row>
    <row r="347" spans="1:18" ht="15">
      <c r="A347" s="23" t="s">
        <v>358</v>
      </c>
      <c r="B347" s="24" t="s">
        <v>7</v>
      </c>
      <c r="C347" s="24" t="s">
        <v>172</v>
      </c>
      <c r="D347" s="7">
        <v>55125</v>
      </c>
      <c r="E347" s="24" t="s">
        <v>16</v>
      </c>
      <c r="F347" s="11" t="str">
        <f t="shared" si="39"/>
        <v>OK</v>
      </c>
      <c r="G347" s="11" t="str">
        <f>IF(COUNTIFS($A:$A,A347,$E:E,E347)&gt;1,"NOK","OK")</f>
        <v>OK</v>
      </c>
      <c r="H347" s="11" t="str">
        <f t="shared" si="40"/>
        <v>OK</v>
      </c>
      <c r="I347" s="11" t="str">
        <f t="shared" si="41"/>
        <v>OK</v>
      </c>
      <c r="J347" s="11" t="str">
        <f t="shared" si="42"/>
        <v>OK</v>
      </c>
      <c r="K347" s="11" t="str">
        <f t="shared" si="43"/>
        <v>OK</v>
      </c>
      <c r="R347" t="str">
        <f t="shared" si="38"/>
        <v>Keep</v>
      </c>
    </row>
    <row r="348" spans="1:18" ht="15">
      <c r="A348" s="23" t="s">
        <v>359</v>
      </c>
      <c r="B348" s="24" t="s">
        <v>7</v>
      </c>
      <c r="C348" s="24" t="s">
        <v>172</v>
      </c>
      <c r="D348" s="7">
        <v>113987</v>
      </c>
      <c r="E348" s="24" t="s">
        <v>16</v>
      </c>
      <c r="F348" s="11" t="str">
        <f t="shared" si="39"/>
        <v>OK</v>
      </c>
      <c r="G348" s="11" t="str">
        <f>IF(COUNTIFS($A:$A,A348,$E:E,E348)&gt;1,"NOK","OK")</f>
        <v>OK</v>
      </c>
      <c r="H348" s="11" t="str">
        <f t="shared" si="40"/>
        <v>OK</v>
      </c>
      <c r="I348" s="11" t="str">
        <f t="shared" si="41"/>
        <v>OK</v>
      </c>
      <c r="J348" s="11" t="str">
        <f t="shared" si="42"/>
        <v>OK</v>
      </c>
      <c r="K348" s="11" t="str">
        <f t="shared" si="43"/>
        <v>OK</v>
      </c>
      <c r="R348" t="str">
        <f t="shared" si="38"/>
        <v>Keep</v>
      </c>
    </row>
    <row r="349" spans="1:18" ht="15">
      <c r="A349" s="23" t="s">
        <v>360</v>
      </c>
      <c r="B349" s="24" t="s">
        <v>7</v>
      </c>
      <c r="C349" s="24" t="s">
        <v>172</v>
      </c>
      <c r="D349" s="7">
        <v>294292</v>
      </c>
      <c r="E349" s="24" t="s">
        <v>9</v>
      </c>
      <c r="F349" s="11" t="str">
        <f t="shared" si="39"/>
        <v>OK</v>
      </c>
      <c r="G349" s="11" t="str">
        <f>IF(COUNTIFS($A:$A,A349,$E:E,E349)&gt;1,"NOK","OK")</f>
        <v>OK</v>
      </c>
      <c r="H349" s="11" t="str">
        <f t="shared" si="40"/>
        <v>OK</v>
      </c>
      <c r="I349" s="11" t="str">
        <f t="shared" si="41"/>
        <v>OK</v>
      </c>
      <c r="J349" s="11" t="str">
        <f t="shared" si="42"/>
        <v>OK</v>
      </c>
      <c r="K349" s="11" t="str">
        <f t="shared" si="43"/>
        <v>OK</v>
      </c>
      <c r="R349" t="str">
        <f t="shared" si="38"/>
        <v>Keep</v>
      </c>
    </row>
    <row r="350" spans="1:18" ht="15">
      <c r="A350" s="23" t="s">
        <v>361</v>
      </c>
      <c r="B350" s="24" t="s">
        <v>7</v>
      </c>
      <c r="C350" s="24" t="s">
        <v>172</v>
      </c>
      <c r="D350" s="7">
        <v>63159</v>
      </c>
      <c r="E350" s="24" t="s">
        <v>12</v>
      </c>
      <c r="F350" s="11" t="str">
        <f t="shared" si="39"/>
        <v>OK</v>
      </c>
      <c r="G350" s="11" t="str">
        <f>IF(COUNTIFS($A:$A,A350,$E:E,E350)&gt;1,"NOK","OK")</f>
        <v>OK</v>
      </c>
      <c r="H350" s="11" t="str">
        <f t="shared" si="40"/>
        <v>OK</v>
      </c>
      <c r="I350" s="11" t="str">
        <f t="shared" si="41"/>
        <v>OK</v>
      </c>
      <c r="J350" s="11" t="str">
        <f t="shared" si="42"/>
        <v>OK</v>
      </c>
      <c r="K350" s="11" t="str">
        <f t="shared" si="43"/>
        <v>OK</v>
      </c>
      <c r="R350" t="str">
        <f t="shared" si="38"/>
        <v>Keep</v>
      </c>
    </row>
    <row r="351" spans="1:18" ht="15">
      <c r="A351" s="23" t="s">
        <v>362</v>
      </c>
      <c r="B351" s="24" t="s">
        <v>11</v>
      </c>
      <c r="C351" s="24" t="s">
        <v>172</v>
      </c>
      <c r="D351" s="7">
        <v>69702</v>
      </c>
      <c r="E351" s="24" t="s">
        <v>9</v>
      </c>
      <c r="F351" s="11" t="str">
        <f t="shared" si="39"/>
        <v>OK</v>
      </c>
      <c r="G351" s="11" t="str">
        <f>IF(COUNTIFS($A:$A,A351,$E:E,E351)&gt;1,"NOK","OK")</f>
        <v>OK</v>
      </c>
      <c r="H351" s="11" t="str">
        <f t="shared" si="40"/>
        <v>OK</v>
      </c>
      <c r="I351" s="11" t="str">
        <f t="shared" si="41"/>
        <v>OK</v>
      </c>
      <c r="J351" s="11" t="str">
        <f t="shared" si="42"/>
        <v>OK</v>
      </c>
      <c r="K351" s="11" t="str">
        <f t="shared" si="43"/>
        <v>OK</v>
      </c>
      <c r="R351" t="str">
        <f t="shared" si="38"/>
        <v>Keep</v>
      </c>
    </row>
    <row r="352" spans="1:18" ht="15">
      <c r="A352" s="23" t="s">
        <v>363</v>
      </c>
      <c r="B352" s="24" t="s">
        <v>7</v>
      </c>
      <c r="C352" s="24" t="s">
        <v>172</v>
      </c>
      <c r="D352" s="7">
        <v>135979</v>
      </c>
      <c r="E352" s="24" t="s">
        <v>9</v>
      </c>
      <c r="F352" s="11" t="str">
        <f t="shared" si="39"/>
        <v>OK</v>
      </c>
      <c r="G352" s="11" t="str">
        <f>IF(COUNTIFS($A:$A,A352,$E:E,E352)&gt;1,"NOK","OK")</f>
        <v>OK</v>
      </c>
      <c r="H352" s="11" t="str">
        <f t="shared" si="40"/>
        <v>OK</v>
      </c>
      <c r="I352" s="11" t="str">
        <f t="shared" si="41"/>
        <v>OK</v>
      </c>
      <c r="J352" s="11" t="str">
        <f t="shared" si="42"/>
        <v>OK</v>
      </c>
      <c r="K352" s="11" t="str">
        <f t="shared" si="43"/>
        <v>OK</v>
      </c>
      <c r="R352" t="str">
        <f t="shared" si="38"/>
        <v>Keep</v>
      </c>
    </row>
    <row r="353" spans="1:18" ht="15">
      <c r="A353" s="23" t="s">
        <v>364</v>
      </c>
      <c r="B353" s="24" t="s">
        <v>7</v>
      </c>
      <c r="C353" s="24" t="s">
        <v>172</v>
      </c>
      <c r="D353" s="7">
        <v>79223</v>
      </c>
      <c r="E353" s="24" t="s">
        <v>12</v>
      </c>
      <c r="F353" s="11" t="str">
        <f t="shared" si="39"/>
        <v>OK</v>
      </c>
      <c r="G353" s="11" t="str">
        <f>IF(COUNTIFS($A:$A,A353,$E:E,E353)&gt;1,"NOK","OK")</f>
        <v>OK</v>
      </c>
      <c r="H353" s="11" t="str">
        <f t="shared" si="40"/>
        <v>OK</v>
      </c>
      <c r="I353" s="11" t="str">
        <f t="shared" si="41"/>
        <v>OK</v>
      </c>
      <c r="J353" s="11" t="str">
        <f t="shared" si="42"/>
        <v>OK</v>
      </c>
      <c r="K353" s="11" t="str">
        <f t="shared" si="43"/>
        <v>OK</v>
      </c>
      <c r="R353" t="str">
        <f t="shared" si="38"/>
        <v>Keep</v>
      </c>
    </row>
    <row r="354" spans="1:18" ht="15">
      <c r="A354" s="23" t="s">
        <v>365</v>
      </c>
      <c r="B354" s="24" t="s">
        <v>11</v>
      </c>
      <c r="C354" s="24" t="s">
        <v>172</v>
      </c>
      <c r="D354" s="7">
        <v>217324</v>
      </c>
      <c r="E354" s="24" t="s">
        <v>12</v>
      </c>
      <c r="F354" s="11" t="str">
        <f t="shared" si="39"/>
        <v>OK</v>
      </c>
      <c r="G354" s="11" t="str">
        <f>IF(COUNTIFS($A:$A,A354,$E:E,E354)&gt;1,"NOK","OK")</f>
        <v>OK</v>
      </c>
      <c r="H354" s="11" t="str">
        <f t="shared" si="40"/>
        <v>OK</v>
      </c>
      <c r="I354" s="11" t="str">
        <f t="shared" si="41"/>
        <v>OK</v>
      </c>
      <c r="J354" s="11" t="str">
        <f t="shared" si="42"/>
        <v>OK</v>
      </c>
      <c r="K354" s="11" t="str">
        <f t="shared" si="43"/>
        <v>OK</v>
      </c>
      <c r="R354" t="str">
        <f t="shared" si="38"/>
        <v>Keep</v>
      </c>
    </row>
    <row r="355" spans="1:18" ht="15">
      <c r="A355" s="23" t="s">
        <v>366</v>
      </c>
      <c r="B355" s="24" t="s">
        <v>7</v>
      </c>
      <c r="C355" s="24" t="s">
        <v>172</v>
      </c>
      <c r="D355" s="7">
        <v>81489</v>
      </c>
      <c r="E355" s="24" t="s">
        <v>16</v>
      </c>
      <c r="F355" s="11" t="str">
        <f t="shared" si="39"/>
        <v>OK</v>
      </c>
      <c r="G355" s="11" t="str">
        <f>IF(COUNTIFS($A:$A,A355,$E:E,E355)&gt;1,"NOK","OK")</f>
        <v>OK</v>
      </c>
      <c r="H355" s="11" t="str">
        <f t="shared" si="40"/>
        <v>OK</v>
      </c>
      <c r="I355" s="11" t="str">
        <f t="shared" si="41"/>
        <v>OK</v>
      </c>
      <c r="J355" s="11" t="str">
        <f t="shared" si="42"/>
        <v>OK</v>
      </c>
      <c r="K355" s="11" t="str">
        <f t="shared" si="43"/>
        <v>OK</v>
      </c>
      <c r="R355" t="str">
        <f t="shared" si="38"/>
        <v>Keep</v>
      </c>
    </row>
    <row r="356" spans="1:18" ht="15">
      <c r="A356" s="23" t="s">
        <v>367</v>
      </c>
      <c r="B356" s="24" t="s">
        <v>7</v>
      </c>
      <c r="C356" s="24" t="s">
        <v>172</v>
      </c>
      <c r="D356" s="7">
        <v>235029</v>
      </c>
      <c r="E356" s="24" t="s">
        <v>16</v>
      </c>
      <c r="F356" s="11" t="str">
        <f t="shared" si="39"/>
        <v>OK</v>
      </c>
      <c r="G356" s="11" t="str">
        <f>IF(COUNTIFS($A:$A,A356,$E:E,E356)&gt;1,"NOK","OK")</f>
        <v>OK</v>
      </c>
      <c r="H356" s="11" t="str">
        <f t="shared" si="40"/>
        <v>OK</v>
      </c>
      <c r="I356" s="11" t="str">
        <f t="shared" si="41"/>
        <v>OK</v>
      </c>
      <c r="J356" s="11" t="str">
        <f t="shared" si="42"/>
        <v>OK</v>
      </c>
      <c r="K356" s="11" t="str">
        <f t="shared" si="43"/>
        <v>OK</v>
      </c>
      <c r="R356" t="str">
        <f t="shared" si="38"/>
        <v>Keep</v>
      </c>
    </row>
    <row r="357" spans="1:18" ht="15">
      <c r="A357" s="23" t="s">
        <v>368</v>
      </c>
      <c r="B357" s="24" t="s">
        <v>11</v>
      </c>
      <c r="C357" s="24" t="s">
        <v>172</v>
      </c>
      <c r="D357" s="7">
        <v>295374</v>
      </c>
      <c r="E357" s="24" t="s">
        <v>12</v>
      </c>
      <c r="F357" s="11" t="str">
        <f t="shared" si="39"/>
        <v>OK</v>
      </c>
      <c r="G357" s="11" t="str">
        <f>IF(COUNTIFS($A:$A,A357,$E:E,E357)&gt;1,"NOK","OK")</f>
        <v>OK</v>
      </c>
      <c r="H357" s="11" t="str">
        <f t="shared" si="40"/>
        <v>OK</v>
      </c>
      <c r="I357" s="11" t="str">
        <f t="shared" si="41"/>
        <v>OK</v>
      </c>
      <c r="J357" s="11" t="str">
        <f t="shared" si="42"/>
        <v>OK</v>
      </c>
      <c r="K357" s="11" t="str">
        <f t="shared" si="43"/>
        <v>OK</v>
      </c>
      <c r="R357" t="str">
        <f t="shared" si="38"/>
        <v>Keep</v>
      </c>
    </row>
    <row r="358" spans="1:18" ht="15">
      <c r="A358" s="23" t="s">
        <v>369</v>
      </c>
      <c r="B358" s="24" t="s">
        <v>237</v>
      </c>
      <c r="C358" s="24" t="s">
        <v>172</v>
      </c>
      <c r="D358" s="7">
        <v>75007</v>
      </c>
      <c r="E358" s="24" t="s">
        <v>12</v>
      </c>
      <c r="F358" s="11" t="str">
        <f t="shared" si="39"/>
        <v>OK</v>
      </c>
      <c r="G358" s="11" t="str">
        <f>IF(COUNTIFS($A:$A,A358,$E:E,E358)&gt;1,"NOK","OK")</f>
        <v>OK</v>
      </c>
      <c r="H358" s="11" t="str">
        <f t="shared" si="40"/>
        <v>OK</v>
      </c>
      <c r="I358" s="11" t="str">
        <f t="shared" si="41"/>
        <v>OK</v>
      </c>
      <c r="J358" s="11" t="str">
        <f t="shared" si="42"/>
        <v>OK</v>
      </c>
      <c r="K358" s="11" t="str">
        <f t="shared" si="43"/>
        <v>OK</v>
      </c>
      <c r="R358" t="str">
        <f t="shared" si="38"/>
        <v>Keep</v>
      </c>
    </row>
    <row r="359" spans="1:18" ht="15">
      <c r="A359" s="23" t="s">
        <v>370</v>
      </c>
      <c r="B359" s="24" t="s">
        <v>237</v>
      </c>
      <c r="C359" s="24" t="s">
        <v>172</v>
      </c>
      <c r="D359" s="7">
        <v>22755</v>
      </c>
      <c r="E359" s="24" t="s">
        <v>16</v>
      </c>
      <c r="F359" s="11" t="str">
        <f t="shared" si="39"/>
        <v>OK</v>
      </c>
      <c r="G359" s="11" t="str">
        <f>IF(COUNTIFS($A:$A,A359,$E:E,E359)&gt;1,"NOK","OK")</f>
        <v>OK</v>
      </c>
      <c r="H359" s="11" t="str">
        <f t="shared" si="40"/>
        <v>OK</v>
      </c>
      <c r="I359" s="11" t="str">
        <f t="shared" si="41"/>
        <v>OK</v>
      </c>
      <c r="J359" s="11" t="str">
        <f t="shared" si="42"/>
        <v>OK</v>
      </c>
      <c r="K359" s="11" t="str">
        <f t="shared" si="43"/>
        <v>OK</v>
      </c>
      <c r="R359" t="str">
        <f t="shared" si="38"/>
        <v>Keep</v>
      </c>
    </row>
    <row r="360" spans="1:18" ht="15">
      <c r="A360" s="23" t="s">
        <v>371</v>
      </c>
      <c r="B360" s="24" t="s">
        <v>11</v>
      </c>
      <c r="C360" s="24" t="s">
        <v>172</v>
      </c>
      <c r="D360" s="7">
        <v>66123</v>
      </c>
      <c r="E360" s="24" t="s">
        <v>9</v>
      </c>
      <c r="F360" s="11" t="str">
        <f t="shared" si="39"/>
        <v>OK</v>
      </c>
      <c r="G360" s="11" t="str">
        <f>IF(COUNTIFS($A:$A,A360,$E:E,E360)&gt;1,"NOK","OK")</f>
        <v>OK</v>
      </c>
      <c r="H360" s="11" t="str">
        <f t="shared" si="40"/>
        <v>OK</v>
      </c>
      <c r="I360" s="11" t="str">
        <f t="shared" si="41"/>
        <v>OK</v>
      </c>
      <c r="J360" s="11" t="str">
        <f t="shared" si="42"/>
        <v>OK</v>
      </c>
      <c r="K360" s="11" t="str">
        <f t="shared" si="43"/>
        <v>OK</v>
      </c>
      <c r="R360" t="str">
        <f t="shared" si="38"/>
        <v>Keep</v>
      </c>
    </row>
    <row r="361" spans="1:18" ht="15">
      <c r="A361" s="23" t="s">
        <v>372</v>
      </c>
      <c r="B361" s="24" t="s">
        <v>7</v>
      </c>
      <c r="C361" s="24" t="s">
        <v>172</v>
      </c>
      <c r="D361" s="7">
        <v>266437</v>
      </c>
      <c r="E361" s="24" t="s">
        <v>16</v>
      </c>
      <c r="F361" s="11" t="str">
        <f t="shared" si="39"/>
        <v>OK</v>
      </c>
      <c r="G361" s="11" t="str">
        <f>IF(COUNTIFS($A:$A,A361,$E:E,E361)&gt;1,"NOK","OK")</f>
        <v>OK</v>
      </c>
      <c r="H361" s="11" t="str">
        <f t="shared" si="40"/>
        <v>OK</v>
      </c>
      <c r="I361" s="11" t="str">
        <f t="shared" si="41"/>
        <v>OK</v>
      </c>
      <c r="J361" s="11" t="str">
        <f t="shared" si="42"/>
        <v>OK</v>
      </c>
      <c r="K361" s="11" t="str">
        <f t="shared" si="43"/>
        <v>OK</v>
      </c>
      <c r="R361" t="str">
        <f t="shared" si="38"/>
        <v>Keep</v>
      </c>
    </row>
    <row r="362" spans="1:18" ht="15">
      <c r="A362" s="23" t="s">
        <v>373</v>
      </c>
      <c r="B362" s="24" t="s">
        <v>7</v>
      </c>
      <c r="C362" s="24" t="s">
        <v>172</v>
      </c>
      <c r="D362" s="7">
        <v>243692</v>
      </c>
      <c r="E362" s="24" t="s">
        <v>9</v>
      </c>
      <c r="F362" s="11" t="str">
        <f t="shared" si="39"/>
        <v>OK</v>
      </c>
      <c r="G362" s="11" t="str">
        <f>IF(COUNTIFS($A:$A,A362,$E:E,E362)&gt;1,"NOK","OK")</f>
        <v>OK</v>
      </c>
      <c r="H362" s="11" t="str">
        <f t="shared" si="40"/>
        <v>OK</v>
      </c>
      <c r="I362" s="11" t="str">
        <f t="shared" si="41"/>
        <v>OK</v>
      </c>
      <c r="J362" s="11" t="str">
        <f t="shared" si="42"/>
        <v>OK</v>
      </c>
      <c r="K362" s="11" t="str">
        <f t="shared" si="43"/>
        <v>OK</v>
      </c>
      <c r="R362" t="str">
        <f t="shared" si="38"/>
        <v>Keep</v>
      </c>
    </row>
    <row r="363" spans="1:18" ht="15">
      <c r="A363" s="23" t="s">
        <v>374</v>
      </c>
      <c r="B363" s="24" t="s">
        <v>25</v>
      </c>
      <c r="C363" s="24" t="s">
        <v>172</v>
      </c>
      <c r="D363" s="7">
        <v>242695</v>
      </c>
      <c r="E363" s="24" t="s">
        <v>16</v>
      </c>
      <c r="F363" s="11" t="str">
        <f t="shared" si="39"/>
        <v>OK</v>
      </c>
      <c r="G363" s="11" t="str">
        <f>IF(COUNTIFS($A:$A,A363,$E:E,E363)&gt;1,"NOK","OK")</f>
        <v>OK</v>
      </c>
      <c r="H363" s="11" t="str">
        <f t="shared" si="40"/>
        <v>OK</v>
      </c>
      <c r="I363" s="11" t="str">
        <f t="shared" si="41"/>
        <v>OK</v>
      </c>
      <c r="J363" s="11" t="str">
        <f t="shared" si="42"/>
        <v>OK</v>
      </c>
      <c r="K363" s="11" t="str">
        <f t="shared" si="43"/>
        <v>OK</v>
      </c>
      <c r="R363" t="str">
        <f t="shared" si="38"/>
        <v>Keep</v>
      </c>
    </row>
    <row r="364" spans="1:18" ht="15">
      <c r="A364" s="23" t="s">
        <v>375</v>
      </c>
      <c r="B364" s="24" t="s">
        <v>7</v>
      </c>
      <c r="C364" s="24" t="s">
        <v>172</v>
      </c>
      <c r="D364" s="7">
        <v>291999</v>
      </c>
      <c r="E364" s="24" t="s">
        <v>9</v>
      </c>
      <c r="F364" s="11" t="str">
        <f t="shared" si="39"/>
        <v>OK</v>
      </c>
      <c r="G364" s="11" t="str">
        <f>IF(COUNTIFS($A:$A,A364,$E:E,E364)&gt;1,"NOK","OK")</f>
        <v>OK</v>
      </c>
      <c r="H364" s="11" t="str">
        <f t="shared" si="40"/>
        <v>OK</v>
      </c>
      <c r="I364" s="11" t="str">
        <f t="shared" si="41"/>
        <v>OK</v>
      </c>
      <c r="J364" s="11" t="str">
        <f t="shared" si="42"/>
        <v>OK</v>
      </c>
      <c r="K364" s="11" t="str">
        <f t="shared" si="43"/>
        <v>OK</v>
      </c>
      <c r="R364" t="str">
        <f t="shared" si="38"/>
        <v>Keep</v>
      </c>
    </row>
    <row r="365" spans="1:18" ht="15">
      <c r="A365" s="23" t="s">
        <v>376</v>
      </c>
      <c r="B365" s="24" t="s">
        <v>7</v>
      </c>
      <c r="C365" s="24" t="s">
        <v>172</v>
      </c>
      <c r="D365" s="7">
        <v>144861</v>
      </c>
      <c r="E365" s="24" t="s">
        <v>9</v>
      </c>
      <c r="F365" s="11" t="str">
        <f t="shared" si="39"/>
        <v>OK</v>
      </c>
      <c r="G365" s="11" t="str">
        <f>IF(COUNTIFS($A:$A,A365,$E:E,E365)&gt;1,"NOK","OK")</f>
        <v>OK</v>
      </c>
      <c r="H365" s="11" t="str">
        <f t="shared" si="40"/>
        <v>OK</v>
      </c>
      <c r="I365" s="11" t="str">
        <f t="shared" si="41"/>
        <v>OK</v>
      </c>
      <c r="J365" s="11" t="str">
        <f t="shared" si="42"/>
        <v>OK</v>
      </c>
      <c r="K365" s="11" t="str">
        <f t="shared" si="43"/>
        <v>OK</v>
      </c>
      <c r="R365" t="str">
        <f t="shared" si="38"/>
        <v>Keep</v>
      </c>
    </row>
    <row r="366" spans="1:18" ht="15">
      <c r="A366" s="23" t="s">
        <v>377</v>
      </c>
      <c r="B366" s="24" t="s">
        <v>7</v>
      </c>
      <c r="C366" s="24" t="s">
        <v>172</v>
      </c>
      <c r="D366" s="7">
        <v>287483</v>
      </c>
      <c r="E366" s="24" t="s">
        <v>12</v>
      </c>
      <c r="F366" s="11" t="str">
        <f t="shared" si="39"/>
        <v>OK</v>
      </c>
      <c r="G366" s="11" t="str">
        <f>IF(COUNTIFS($A:$A,A366,$E:E,E366)&gt;1,"NOK","OK")</f>
        <v>OK</v>
      </c>
      <c r="H366" s="11" t="str">
        <f t="shared" si="40"/>
        <v>OK</v>
      </c>
      <c r="I366" s="11" t="str">
        <f t="shared" si="41"/>
        <v>OK</v>
      </c>
      <c r="J366" s="11" t="str">
        <f t="shared" si="42"/>
        <v>OK</v>
      </c>
      <c r="K366" s="11" t="str">
        <f t="shared" si="43"/>
        <v>OK</v>
      </c>
      <c r="R366" t="str">
        <f t="shared" si="38"/>
        <v>Keep</v>
      </c>
    </row>
    <row r="367" spans="1:18" ht="15">
      <c r="A367" s="23" t="s">
        <v>378</v>
      </c>
      <c r="B367" s="24" t="s">
        <v>11</v>
      </c>
      <c r="C367" s="24" t="s">
        <v>172</v>
      </c>
      <c r="D367" s="7">
        <v>32391</v>
      </c>
      <c r="E367" s="24" t="s">
        <v>9</v>
      </c>
      <c r="F367" s="11" t="str">
        <f t="shared" si="39"/>
        <v>OK</v>
      </c>
      <c r="G367" s="11" t="str">
        <f>IF(COUNTIFS($A:$A,A367,$E:E,E367)&gt;1,"NOK","OK")</f>
        <v>OK</v>
      </c>
      <c r="H367" s="11" t="str">
        <f t="shared" si="40"/>
        <v>OK</v>
      </c>
      <c r="I367" s="11" t="str">
        <f t="shared" si="41"/>
        <v>OK</v>
      </c>
      <c r="J367" s="11" t="str">
        <f t="shared" si="42"/>
        <v>OK</v>
      </c>
      <c r="K367" s="11" t="str">
        <f t="shared" si="43"/>
        <v>OK</v>
      </c>
      <c r="R367" t="str">
        <f t="shared" si="38"/>
        <v>Keep</v>
      </c>
    </row>
    <row r="368" spans="1:18" ht="15">
      <c r="A368" s="23" t="s">
        <v>379</v>
      </c>
      <c r="B368" s="24" t="s">
        <v>11</v>
      </c>
      <c r="C368" s="24" t="s">
        <v>172</v>
      </c>
      <c r="D368" s="7">
        <v>118339</v>
      </c>
      <c r="E368" s="24" t="s">
        <v>9</v>
      </c>
      <c r="F368" s="11" t="str">
        <f t="shared" si="39"/>
        <v>OK</v>
      </c>
      <c r="G368" s="11" t="str">
        <f>IF(COUNTIFS($A:$A,A368,$E:E,E368)&gt;1,"NOK","OK")</f>
        <v>OK</v>
      </c>
      <c r="H368" s="11" t="str">
        <f t="shared" si="40"/>
        <v>OK</v>
      </c>
      <c r="I368" s="11" t="str">
        <f t="shared" si="41"/>
        <v>OK</v>
      </c>
      <c r="J368" s="11" t="str">
        <f t="shared" si="42"/>
        <v>OK</v>
      </c>
      <c r="K368" s="11" t="str">
        <f t="shared" si="43"/>
        <v>OK</v>
      </c>
      <c r="R368" t="str">
        <f t="shared" si="38"/>
        <v>Keep</v>
      </c>
    </row>
    <row r="369" spans="1:18" ht="15">
      <c r="A369" s="23" t="s">
        <v>380</v>
      </c>
      <c r="B369" s="24" t="s">
        <v>11</v>
      </c>
      <c r="C369" s="24" t="s">
        <v>172</v>
      </c>
      <c r="D369" s="7">
        <v>266976</v>
      </c>
      <c r="E369" s="24" t="s">
        <v>12</v>
      </c>
      <c r="F369" s="11" t="str">
        <f t="shared" si="39"/>
        <v>OK</v>
      </c>
      <c r="G369" s="11" t="str">
        <f>IF(COUNTIFS($A:$A,A369,$E:E,E369)&gt;1,"NOK","OK")</f>
        <v>OK</v>
      </c>
      <c r="H369" s="11" t="str">
        <f t="shared" si="40"/>
        <v>OK</v>
      </c>
      <c r="I369" s="11" t="str">
        <f t="shared" si="41"/>
        <v>OK</v>
      </c>
      <c r="J369" s="11" t="str">
        <f t="shared" si="42"/>
        <v>OK</v>
      </c>
      <c r="K369" s="11" t="str">
        <f t="shared" si="43"/>
        <v>OK</v>
      </c>
      <c r="R369" t="str">
        <f t="shared" si="38"/>
        <v>Keep</v>
      </c>
    </row>
    <row r="370" spans="1:18" ht="15">
      <c r="A370" s="23" t="s">
        <v>381</v>
      </c>
      <c r="B370" s="24" t="s">
        <v>7</v>
      </c>
      <c r="C370" s="24" t="s">
        <v>172</v>
      </c>
      <c r="D370" s="7">
        <v>19654</v>
      </c>
      <c r="E370" s="24" t="s">
        <v>12</v>
      </c>
      <c r="F370" s="11" t="str">
        <f t="shared" si="39"/>
        <v>OK</v>
      </c>
      <c r="G370" s="11" t="str">
        <f>IF(COUNTIFS($A:$A,A370,$E:E,E370)&gt;1,"NOK","OK")</f>
        <v>OK</v>
      </c>
      <c r="H370" s="11" t="str">
        <f t="shared" si="40"/>
        <v>OK</v>
      </c>
      <c r="I370" s="11" t="str">
        <f t="shared" si="41"/>
        <v>OK</v>
      </c>
      <c r="J370" s="11" t="str">
        <f t="shared" si="42"/>
        <v>OK</v>
      </c>
      <c r="K370" s="11" t="str">
        <f t="shared" si="43"/>
        <v>OK</v>
      </c>
      <c r="R370" t="str">
        <f t="shared" si="38"/>
        <v>Keep</v>
      </c>
    </row>
    <row r="371" spans="1:18" ht="15">
      <c r="A371" s="23" t="s">
        <v>382</v>
      </c>
      <c r="B371" s="24" t="s">
        <v>7</v>
      </c>
      <c r="C371" s="24" t="s">
        <v>172</v>
      </c>
      <c r="D371" s="7">
        <v>172255</v>
      </c>
      <c r="E371" s="24" t="s">
        <v>12</v>
      </c>
      <c r="F371" s="11" t="str">
        <f t="shared" si="39"/>
        <v>OK</v>
      </c>
      <c r="G371" s="11" t="str">
        <f>IF(COUNTIFS($A:$A,A371,$E:E,E371)&gt;1,"NOK","OK")</f>
        <v>OK</v>
      </c>
      <c r="H371" s="11" t="str">
        <f t="shared" si="40"/>
        <v>OK</v>
      </c>
      <c r="I371" s="11" t="str">
        <f t="shared" si="41"/>
        <v>OK</v>
      </c>
      <c r="J371" s="11" t="str">
        <f t="shared" si="42"/>
        <v>OK</v>
      </c>
      <c r="K371" s="11" t="str">
        <f t="shared" si="43"/>
        <v>OK</v>
      </c>
      <c r="R371" t="str">
        <f t="shared" si="38"/>
        <v>Keep</v>
      </c>
    </row>
    <row r="372" spans="1:18" ht="15">
      <c r="A372" s="23" t="s">
        <v>383</v>
      </c>
      <c r="B372" s="24" t="s">
        <v>11</v>
      </c>
      <c r="C372" s="24" t="s">
        <v>172</v>
      </c>
      <c r="D372" s="7">
        <v>160703</v>
      </c>
      <c r="E372" s="24" t="s">
        <v>16</v>
      </c>
      <c r="F372" s="11" t="str">
        <f t="shared" si="39"/>
        <v>OK</v>
      </c>
      <c r="G372" s="11" t="str">
        <f>IF(COUNTIFS($A:$A,A372,$E:E,E372)&gt;1,"NOK","OK")</f>
        <v>OK</v>
      </c>
      <c r="H372" s="11" t="str">
        <f t="shared" si="40"/>
        <v>OK</v>
      </c>
      <c r="I372" s="11" t="str">
        <f t="shared" si="41"/>
        <v>OK</v>
      </c>
      <c r="J372" s="11" t="str">
        <f t="shared" si="42"/>
        <v>OK</v>
      </c>
      <c r="K372" s="11" t="str">
        <f t="shared" si="43"/>
        <v>OK</v>
      </c>
      <c r="R372" t="str">
        <f t="shared" si="38"/>
        <v>Keep</v>
      </c>
    </row>
    <row r="373" spans="1:18" ht="15">
      <c r="A373" s="23" t="s">
        <v>384</v>
      </c>
      <c r="B373" s="24" t="s">
        <v>11</v>
      </c>
      <c r="C373" s="24" t="s">
        <v>172</v>
      </c>
      <c r="D373" s="7">
        <v>21250</v>
      </c>
      <c r="E373" s="24" t="s">
        <v>12</v>
      </c>
      <c r="F373" s="11" t="str">
        <f t="shared" si="39"/>
        <v>OK</v>
      </c>
      <c r="G373" s="11" t="str">
        <f>IF(COUNTIFS($A:$A,A373,$E:E,E373)&gt;1,"NOK","OK")</f>
        <v>OK</v>
      </c>
      <c r="H373" s="11" t="str">
        <f t="shared" si="40"/>
        <v>OK</v>
      </c>
      <c r="I373" s="11" t="str">
        <f t="shared" si="41"/>
        <v>OK</v>
      </c>
      <c r="J373" s="11" t="str">
        <f t="shared" si="42"/>
        <v>OK</v>
      </c>
      <c r="K373" s="11" t="str">
        <f t="shared" si="43"/>
        <v>OK</v>
      </c>
      <c r="R373" t="str">
        <f t="shared" si="38"/>
        <v>Keep</v>
      </c>
    </row>
    <row r="374" spans="1:18" ht="15">
      <c r="A374" s="23" t="s">
        <v>385</v>
      </c>
      <c r="B374" s="24" t="s">
        <v>7</v>
      </c>
      <c r="C374" s="24" t="s">
        <v>172</v>
      </c>
      <c r="D374" s="7">
        <v>201118</v>
      </c>
      <c r="E374" s="24" t="s">
        <v>12</v>
      </c>
      <c r="F374" s="11" t="str">
        <f t="shared" si="39"/>
        <v>OK</v>
      </c>
      <c r="G374" s="11" t="str">
        <f>IF(COUNTIFS($A:$A,A374,$E:E,E374)&gt;1,"NOK","OK")</f>
        <v>OK</v>
      </c>
      <c r="H374" s="11" t="str">
        <f t="shared" si="40"/>
        <v>OK</v>
      </c>
      <c r="I374" s="11" t="str">
        <f t="shared" si="41"/>
        <v>OK</v>
      </c>
      <c r="J374" s="11" t="str">
        <f t="shared" si="42"/>
        <v>OK</v>
      </c>
      <c r="K374" s="11" t="str">
        <f t="shared" si="43"/>
        <v>OK</v>
      </c>
      <c r="R374" t="str">
        <f t="shared" si="38"/>
        <v>Keep</v>
      </c>
    </row>
    <row r="375" spans="1:18" ht="15">
      <c r="A375" s="23" t="s">
        <v>386</v>
      </c>
      <c r="B375" s="24" t="s">
        <v>7</v>
      </c>
      <c r="C375" s="24" t="s">
        <v>172</v>
      </c>
      <c r="D375" s="7">
        <v>281472</v>
      </c>
      <c r="E375" s="24" t="s">
        <v>16</v>
      </c>
      <c r="F375" s="11" t="str">
        <f t="shared" si="39"/>
        <v>OK</v>
      </c>
      <c r="G375" s="11" t="str">
        <f>IF(COUNTIFS($A:$A,A375,$E:E,E375)&gt;1,"NOK","OK")</f>
        <v>OK</v>
      </c>
      <c r="H375" s="11" t="str">
        <f t="shared" si="40"/>
        <v>OK</v>
      </c>
      <c r="I375" s="11" t="str">
        <f t="shared" si="41"/>
        <v>OK</v>
      </c>
      <c r="J375" s="11" t="str">
        <f t="shared" si="42"/>
        <v>OK</v>
      </c>
      <c r="K375" s="11" t="str">
        <f t="shared" si="43"/>
        <v>OK</v>
      </c>
      <c r="R375" t="str">
        <f t="shared" si="38"/>
        <v>Keep</v>
      </c>
    </row>
    <row r="376" spans="1:18" ht="15">
      <c r="A376" s="23" t="s">
        <v>387</v>
      </c>
      <c r="B376" s="24" t="s">
        <v>7</v>
      </c>
      <c r="C376" s="24" t="s">
        <v>172</v>
      </c>
      <c r="D376" s="7">
        <v>141944</v>
      </c>
      <c r="E376" s="24" t="s">
        <v>16</v>
      </c>
      <c r="F376" s="11" t="str">
        <f t="shared" si="39"/>
        <v>OK</v>
      </c>
      <c r="G376" s="11" t="str">
        <f>IF(COUNTIFS($A:$A,A376,$E:E,E376)&gt;1,"NOK","OK")</f>
        <v>OK</v>
      </c>
      <c r="H376" s="11" t="str">
        <f t="shared" si="40"/>
        <v>OK</v>
      </c>
      <c r="I376" s="11" t="str">
        <f t="shared" si="41"/>
        <v>OK</v>
      </c>
      <c r="J376" s="11" t="str">
        <f t="shared" si="42"/>
        <v>OK</v>
      </c>
      <c r="K376" s="11" t="str">
        <f t="shared" si="43"/>
        <v>OK</v>
      </c>
      <c r="R376" t="str">
        <f t="shared" ref="R376:R439" si="44">IF(COUNTIF(F376:K376, "NOK") &gt; 0, "Hide", "Keep")</f>
        <v>Keep</v>
      </c>
    </row>
    <row r="377" spans="1:18" ht="15">
      <c r="A377" s="23" t="s">
        <v>388</v>
      </c>
      <c r="B377" s="24" t="s">
        <v>11</v>
      </c>
      <c r="C377" s="24" t="s">
        <v>172</v>
      </c>
      <c r="D377" s="7">
        <v>233453</v>
      </c>
      <c r="E377" s="24" t="s">
        <v>16</v>
      </c>
      <c r="F377" s="11" t="str">
        <f t="shared" si="39"/>
        <v>OK</v>
      </c>
      <c r="G377" s="11" t="str">
        <f>IF(COUNTIFS($A:$A,A377,$E:E,E377)&gt;1,"NOK","OK")</f>
        <v>OK</v>
      </c>
      <c r="H377" s="11" t="str">
        <f t="shared" si="40"/>
        <v>OK</v>
      </c>
      <c r="I377" s="11" t="str">
        <f t="shared" si="41"/>
        <v>OK</v>
      </c>
      <c r="J377" s="11" t="str">
        <f t="shared" si="42"/>
        <v>OK</v>
      </c>
      <c r="K377" s="11" t="str">
        <f t="shared" si="43"/>
        <v>OK</v>
      </c>
      <c r="R377" t="str">
        <f t="shared" si="44"/>
        <v>Keep</v>
      </c>
    </row>
    <row r="378" spans="1:18" ht="15">
      <c r="A378" s="23" t="s">
        <v>389</v>
      </c>
      <c r="B378" s="24" t="s">
        <v>11</v>
      </c>
      <c r="C378" s="24" t="s">
        <v>172</v>
      </c>
      <c r="D378" s="7">
        <v>156458</v>
      </c>
      <c r="E378" s="24" t="s">
        <v>12</v>
      </c>
      <c r="F378" s="11" t="str">
        <f t="shared" si="39"/>
        <v>OK</v>
      </c>
      <c r="G378" s="11" t="str">
        <f>IF(COUNTIFS($A:$A,A378,$E:E,E378)&gt;1,"NOK","OK")</f>
        <v>OK</v>
      </c>
      <c r="H378" s="11" t="str">
        <f t="shared" si="40"/>
        <v>OK</v>
      </c>
      <c r="I378" s="11" t="str">
        <f t="shared" si="41"/>
        <v>OK</v>
      </c>
      <c r="J378" s="11" t="str">
        <f t="shared" si="42"/>
        <v>OK</v>
      </c>
      <c r="K378" s="11" t="str">
        <f t="shared" si="43"/>
        <v>OK</v>
      </c>
      <c r="R378" t="str">
        <f t="shared" si="44"/>
        <v>Keep</v>
      </c>
    </row>
    <row r="379" spans="1:18" ht="15">
      <c r="A379" s="23" t="s">
        <v>390</v>
      </c>
      <c r="B379" s="24" t="s">
        <v>7</v>
      </c>
      <c r="C379" s="24" t="s">
        <v>172</v>
      </c>
      <c r="D379" s="7">
        <v>296659</v>
      </c>
      <c r="E379" s="24" t="s">
        <v>9</v>
      </c>
      <c r="F379" s="11" t="str">
        <f t="shared" si="39"/>
        <v>OK</v>
      </c>
      <c r="G379" s="11" t="str">
        <f>IF(COUNTIFS($A:$A,A379,$E:E,E379)&gt;1,"NOK","OK")</f>
        <v>OK</v>
      </c>
      <c r="H379" s="11" t="str">
        <f t="shared" si="40"/>
        <v>OK</v>
      </c>
      <c r="I379" s="11" t="str">
        <f t="shared" si="41"/>
        <v>OK</v>
      </c>
      <c r="J379" s="11" t="str">
        <f t="shared" si="42"/>
        <v>OK</v>
      </c>
      <c r="K379" s="11" t="str">
        <f t="shared" si="43"/>
        <v>OK</v>
      </c>
      <c r="R379" t="str">
        <f t="shared" si="44"/>
        <v>Keep</v>
      </c>
    </row>
    <row r="380" spans="1:18" ht="15">
      <c r="A380" s="23" t="s">
        <v>391</v>
      </c>
      <c r="B380" s="24" t="s">
        <v>237</v>
      </c>
      <c r="C380" s="24" t="s">
        <v>172</v>
      </c>
      <c r="D380" s="7">
        <v>162619</v>
      </c>
      <c r="E380" s="24" t="s">
        <v>12</v>
      </c>
      <c r="F380" s="11" t="str">
        <f t="shared" si="39"/>
        <v>OK</v>
      </c>
      <c r="G380" s="11" t="str">
        <f>IF(COUNTIFS($A:$A,A380,$E:E,E380)&gt;1,"NOK","OK")</f>
        <v>OK</v>
      </c>
      <c r="H380" s="11" t="str">
        <f t="shared" si="40"/>
        <v>OK</v>
      </c>
      <c r="I380" s="11" t="str">
        <f t="shared" si="41"/>
        <v>OK</v>
      </c>
      <c r="J380" s="11" t="str">
        <f t="shared" si="42"/>
        <v>OK</v>
      </c>
      <c r="K380" s="11" t="str">
        <f t="shared" si="43"/>
        <v>OK</v>
      </c>
      <c r="R380" t="str">
        <f t="shared" si="44"/>
        <v>Keep</v>
      </c>
    </row>
    <row r="381" spans="1:18" ht="15">
      <c r="A381" s="23" t="s">
        <v>392</v>
      </c>
      <c r="B381" s="24" t="s">
        <v>7</v>
      </c>
      <c r="C381" s="24" t="s">
        <v>172</v>
      </c>
      <c r="D381" s="7">
        <v>105944</v>
      </c>
      <c r="E381" s="24" t="s">
        <v>9</v>
      </c>
      <c r="F381" s="11" t="str">
        <f t="shared" si="39"/>
        <v>OK</v>
      </c>
      <c r="G381" s="11" t="str">
        <f>IF(COUNTIFS($A:$A,A381,$E:E,E381)&gt;1,"NOK","OK")</f>
        <v>OK</v>
      </c>
      <c r="H381" s="11" t="str">
        <f t="shared" si="40"/>
        <v>OK</v>
      </c>
      <c r="I381" s="11" t="str">
        <f t="shared" si="41"/>
        <v>OK</v>
      </c>
      <c r="J381" s="11" t="str">
        <f t="shared" si="42"/>
        <v>OK</v>
      </c>
      <c r="K381" s="11" t="str">
        <f t="shared" si="43"/>
        <v>OK</v>
      </c>
      <c r="R381" t="str">
        <f t="shared" si="44"/>
        <v>Keep</v>
      </c>
    </row>
    <row r="382" spans="1:18" ht="15">
      <c r="A382" s="23" t="s">
        <v>393</v>
      </c>
      <c r="B382" s="24" t="s">
        <v>7</v>
      </c>
      <c r="C382" s="24" t="s">
        <v>172</v>
      </c>
      <c r="D382" s="7">
        <v>86283</v>
      </c>
      <c r="E382" s="24" t="s">
        <v>12</v>
      </c>
      <c r="F382" s="11" t="str">
        <f t="shared" si="39"/>
        <v>OK</v>
      </c>
      <c r="G382" s="11" t="str">
        <f>IF(COUNTIFS($A:$A,A382,$E:E,E382)&gt;1,"NOK","OK")</f>
        <v>OK</v>
      </c>
      <c r="H382" s="11" t="str">
        <f t="shared" si="40"/>
        <v>OK</v>
      </c>
      <c r="I382" s="11" t="str">
        <f t="shared" si="41"/>
        <v>OK</v>
      </c>
      <c r="J382" s="11" t="str">
        <f t="shared" si="42"/>
        <v>OK</v>
      </c>
      <c r="K382" s="11" t="str">
        <f t="shared" si="43"/>
        <v>OK</v>
      </c>
      <c r="R382" t="str">
        <f t="shared" si="44"/>
        <v>Keep</v>
      </c>
    </row>
    <row r="383" spans="1:18" ht="15">
      <c r="A383" s="23" t="s">
        <v>394</v>
      </c>
      <c r="B383" s="24" t="s">
        <v>11</v>
      </c>
      <c r="C383" s="24" t="s">
        <v>172</v>
      </c>
      <c r="D383" s="7">
        <v>101265</v>
      </c>
      <c r="E383" s="24" t="s">
        <v>16</v>
      </c>
      <c r="F383" s="11" t="str">
        <f t="shared" si="39"/>
        <v>OK</v>
      </c>
      <c r="G383" s="11" t="str">
        <f>IF(COUNTIFS($A:$A,A383,$E:E,E383)&gt;1,"NOK","OK")</f>
        <v>OK</v>
      </c>
      <c r="H383" s="11" t="str">
        <f t="shared" si="40"/>
        <v>OK</v>
      </c>
      <c r="I383" s="11" t="str">
        <f t="shared" si="41"/>
        <v>OK</v>
      </c>
      <c r="J383" s="11" t="str">
        <f t="shared" si="42"/>
        <v>OK</v>
      </c>
      <c r="K383" s="11" t="str">
        <f t="shared" si="43"/>
        <v>OK</v>
      </c>
      <c r="R383" t="str">
        <f t="shared" si="44"/>
        <v>Keep</v>
      </c>
    </row>
    <row r="384" spans="1:18" ht="15">
      <c r="A384" s="23" t="s">
        <v>395</v>
      </c>
      <c r="B384" s="24" t="s">
        <v>237</v>
      </c>
      <c r="C384" s="24" t="s">
        <v>172</v>
      </c>
      <c r="D384" s="7">
        <v>52322</v>
      </c>
      <c r="E384" s="24" t="s">
        <v>12</v>
      </c>
      <c r="F384" s="11" t="str">
        <f t="shared" si="39"/>
        <v>OK</v>
      </c>
      <c r="G384" s="11" t="str">
        <f>IF(COUNTIFS($A:$A,A384,$E:E,E384)&gt;1,"NOK","OK")</f>
        <v>OK</v>
      </c>
      <c r="H384" s="11" t="str">
        <f t="shared" si="40"/>
        <v>OK</v>
      </c>
      <c r="I384" s="11" t="str">
        <f t="shared" si="41"/>
        <v>OK</v>
      </c>
      <c r="J384" s="11" t="str">
        <f t="shared" si="42"/>
        <v>OK</v>
      </c>
      <c r="K384" s="11" t="str">
        <f t="shared" si="43"/>
        <v>OK</v>
      </c>
      <c r="R384" t="str">
        <f t="shared" si="44"/>
        <v>Keep</v>
      </c>
    </row>
    <row r="385" spans="1:18" ht="15">
      <c r="A385" s="23" t="s">
        <v>396</v>
      </c>
      <c r="B385" s="24" t="s">
        <v>7</v>
      </c>
      <c r="C385" s="24" t="s">
        <v>172</v>
      </c>
      <c r="D385" s="7">
        <v>278750</v>
      </c>
      <c r="E385" s="24" t="s">
        <v>9</v>
      </c>
      <c r="F385" s="11" t="str">
        <f t="shared" si="39"/>
        <v>OK</v>
      </c>
      <c r="G385" s="11" t="str">
        <f>IF(COUNTIFS($A:$A,A385,$E:E,E385)&gt;1,"NOK","OK")</f>
        <v>OK</v>
      </c>
      <c r="H385" s="11" t="str">
        <f t="shared" si="40"/>
        <v>OK</v>
      </c>
      <c r="I385" s="11" t="str">
        <f t="shared" si="41"/>
        <v>OK</v>
      </c>
      <c r="J385" s="11" t="str">
        <f t="shared" si="42"/>
        <v>OK</v>
      </c>
      <c r="K385" s="11" t="str">
        <f t="shared" si="43"/>
        <v>OK</v>
      </c>
      <c r="R385" t="str">
        <f t="shared" si="44"/>
        <v>Keep</v>
      </c>
    </row>
    <row r="386" spans="1:18" ht="15">
      <c r="A386" s="23" t="s">
        <v>397</v>
      </c>
      <c r="B386" s="24" t="s">
        <v>7</v>
      </c>
      <c r="C386" s="24" t="s">
        <v>172</v>
      </c>
      <c r="D386" s="7">
        <v>293564</v>
      </c>
      <c r="E386" s="24" t="s">
        <v>9</v>
      </c>
      <c r="F386" s="11" t="str">
        <f t="shared" si="39"/>
        <v>OK</v>
      </c>
      <c r="G386" s="11" t="str">
        <f>IF(COUNTIFS($A:$A,A386,$E:E,E386)&gt;1,"NOK","OK")</f>
        <v>OK</v>
      </c>
      <c r="H386" s="11" t="str">
        <f t="shared" si="40"/>
        <v>OK</v>
      </c>
      <c r="I386" s="11" t="str">
        <f t="shared" si="41"/>
        <v>OK</v>
      </c>
      <c r="J386" s="11" t="str">
        <f t="shared" si="42"/>
        <v>OK</v>
      </c>
      <c r="K386" s="11" t="str">
        <f t="shared" si="43"/>
        <v>OK</v>
      </c>
      <c r="R386" t="str">
        <f t="shared" si="44"/>
        <v>Keep</v>
      </c>
    </row>
    <row r="387" spans="1:18" ht="15">
      <c r="A387" s="23" t="s">
        <v>398</v>
      </c>
      <c r="B387" s="24" t="s">
        <v>7</v>
      </c>
      <c r="C387" s="24" t="s">
        <v>172</v>
      </c>
      <c r="D387" s="7">
        <v>68629</v>
      </c>
      <c r="E387" s="24" t="s">
        <v>9</v>
      </c>
      <c r="F387" s="11" t="str">
        <f t="shared" si="39"/>
        <v>OK</v>
      </c>
      <c r="G387" s="11" t="str">
        <f>IF(COUNTIFS($A:$A,A387,$E:E,E387)&gt;1,"NOK","OK")</f>
        <v>OK</v>
      </c>
      <c r="H387" s="11" t="str">
        <f t="shared" si="40"/>
        <v>OK</v>
      </c>
      <c r="I387" s="11" t="str">
        <f t="shared" si="41"/>
        <v>OK</v>
      </c>
      <c r="J387" s="11" t="str">
        <f t="shared" si="42"/>
        <v>OK</v>
      </c>
      <c r="K387" s="11" t="str">
        <f t="shared" si="43"/>
        <v>OK</v>
      </c>
      <c r="R387" t="str">
        <f t="shared" si="44"/>
        <v>Keep</v>
      </c>
    </row>
    <row r="388" spans="1:18" ht="15">
      <c r="A388" s="23" t="s">
        <v>399</v>
      </c>
      <c r="B388" s="24" t="s">
        <v>7</v>
      </c>
      <c r="C388" s="24" t="s">
        <v>172</v>
      </c>
      <c r="D388" s="7">
        <v>297363</v>
      </c>
      <c r="E388" s="24" t="s">
        <v>16</v>
      </c>
      <c r="F388" s="11" t="str">
        <f t="shared" ref="F388:F451" si="45">IF(COUNTA($A388:$E388),"OK","NOK")</f>
        <v>OK</v>
      </c>
      <c r="G388" s="11" t="str">
        <f>IF(COUNTIFS($A:$A,A388,$E:E,E388)&gt;1,"NOK","OK")</f>
        <v>OK</v>
      </c>
      <c r="H388" s="11" t="str">
        <f t="shared" ref="H388:H451" si="46">IF(OR(B388="Corporate", B388="Emerging", B388="Enterprise", B388="Small Business"),"OK","NOK")</f>
        <v>OK</v>
      </c>
      <c r="I388" s="11" t="str">
        <f t="shared" ref="I388:I451" si="47">IF(OR(C388="ANZ", C388="DACH", C388="France", C388="North America", C388="UK"),"OK","NOK")</f>
        <v>OK</v>
      </c>
      <c r="J388" s="11" t="str">
        <f t="shared" ref="J388:J451" si="48">IF(OR(D388&lt;=0, D388&gt;300000),"NOK","OK")</f>
        <v>OK</v>
      </c>
      <c r="K388" s="11" t="str">
        <f t="shared" ref="K388:K451" si="49">IF(OR(E388="FY23", E388="FY24", E388="FY25"),"OK","NOK")</f>
        <v>OK</v>
      </c>
      <c r="R388" t="str">
        <f t="shared" si="44"/>
        <v>Keep</v>
      </c>
    </row>
    <row r="389" spans="1:18" ht="15">
      <c r="A389" s="23" t="s">
        <v>400</v>
      </c>
      <c r="B389" s="24" t="s">
        <v>7</v>
      </c>
      <c r="C389" s="24" t="s">
        <v>172</v>
      </c>
      <c r="D389" s="7">
        <v>207262</v>
      </c>
      <c r="E389" s="24" t="s">
        <v>9</v>
      </c>
      <c r="F389" s="11" t="str">
        <f t="shared" si="45"/>
        <v>OK</v>
      </c>
      <c r="G389" s="11" t="str">
        <f>IF(COUNTIFS($A:$A,A389,$E:E,E389)&gt;1,"NOK","OK")</f>
        <v>OK</v>
      </c>
      <c r="H389" s="11" t="str">
        <f t="shared" si="46"/>
        <v>OK</v>
      </c>
      <c r="I389" s="11" t="str">
        <f t="shared" si="47"/>
        <v>OK</v>
      </c>
      <c r="J389" s="11" t="str">
        <f t="shared" si="48"/>
        <v>OK</v>
      </c>
      <c r="K389" s="11" t="str">
        <f t="shared" si="49"/>
        <v>OK</v>
      </c>
      <c r="R389" t="str">
        <f t="shared" si="44"/>
        <v>Keep</v>
      </c>
    </row>
    <row r="390" spans="1:18" ht="15">
      <c r="A390" s="23" t="s">
        <v>401</v>
      </c>
      <c r="B390" s="24" t="s">
        <v>7</v>
      </c>
      <c r="C390" s="24" t="s">
        <v>172</v>
      </c>
      <c r="D390" s="7">
        <v>52523</v>
      </c>
      <c r="E390" s="24" t="s">
        <v>9</v>
      </c>
      <c r="F390" s="11" t="str">
        <f t="shared" si="45"/>
        <v>OK</v>
      </c>
      <c r="G390" s="11" t="str">
        <f>IF(COUNTIFS($A:$A,A390,$E:E,E390)&gt;1,"NOK","OK")</f>
        <v>OK</v>
      </c>
      <c r="H390" s="11" t="str">
        <f t="shared" si="46"/>
        <v>OK</v>
      </c>
      <c r="I390" s="11" t="str">
        <f t="shared" si="47"/>
        <v>OK</v>
      </c>
      <c r="J390" s="11" t="str">
        <f t="shared" si="48"/>
        <v>OK</v>
      </c>
      <c r="K390" s="11" t="str">
        <f t="shared" si="49"/>
        <v>OK</v>
      </c>
      <c r="R390" t="str">
        <f t="shared" si="44"/>
        <v>Keep</v>
      </c>
    </row>
    <row r="391" spans="1:18" ht="15">
      <c r="A391" s="23" t="s">
        <v>402</v>
      </c>
      <c r="B391" s="24" t="s">
        <v>11</v>
      </c>
      <c r="C391" s="24" t="s">
        <v>172</v>
      </c>
      <c r="D391" s="7">
        <v>269762</v>
      </c>
      <c r="E391" s="24" t="s">
        <v>16</v>
      </c>
      <c r="F391" s="11" t="str">
        <f t="shared" si="45"/>
        <v>OK</v>
      </c>
      <c r="G391" s="11" t="str">
        <f>IF(COUNTIFS($A:$A,A391,$E:E,E391)&gt;1,"NOK","OK")</f>
        <v>OK</v>
      </c>
      <c r="H391" s="11" t="str">
        <f t="shared" si="46"/>
        <v>OK</v>
      </c>
      <c r="I391" s="11" t="str">
        <f t="shared" si="47"/>
        <v>OK</v>
      </c>
      <c r="J391" s="11" t="str">
        <f t="shared" si="48"/>
        <v>OK</v>
      </c>
      <c r="K391" s="11" t="str">
        <f t="shared" si="49"/>
        <v>OK</v>
      </c>
      <c r="R391" t="str">
        <f t="shared" si="44"/>
        <v>Keep</v>
      </c>
    </row>
    <row r="392" spans="1:18" ht="15">
      <c r="A392" s="23" t="s">
        <v>403</v>
      </c>
      <c r="B392" s="24" t="s">
        <v>7</v>
      </c>
      <c r="C392" s="24" t="s">
        <v>172</v>
      </c>
      <c r="D392" s="7">
        <v>49422</v>
      </c>
      <c r="E392" s="24" t="s">
        <v>16</v>
      </c>
      <c r="F392" s="11" t="str">
        <f t="shared" si="45"/>
        <v>OK</v>
      </c>
      <c r="G392" s="11" t="str">
        <f>IF(COUNTIFS($A:$A,A392,$E:E,E392)&gt;1,"NOK","OK")</f>
        <v>OK</v>
      </c>
      <c r="H392" s="11" t="str">
        <f t="shared" si="46"/>
        <v>OK</v>
      </c>
      <c r="I392" s="11" t="str">
        <f t="shared" si="47"/>
        <v>OK</v>
      </c>
      <c r="J392" s="11" t="str">
        <f t="shared" si="48"/>
        <v>OK</v>
      </c>
      <c r="K392" s="11" t="str">
        <f t="shared" si="49"/>
        <v>OK</v>
      </c>
      <c r="R392" t="str">
        <f t="shared" si="44"/>
        <v>Keep</v>
      </c>
    </row>
    <row r="393" spans="1:18" ht="15">
      <c r="A393" s="23" t="s">
        <v>404</v>
      </c>
      <c r="B393" s="24" t="s">
        <v>11</v>
      </c>
      <c r="C393" s="24" t="s">
        <v>172</v>
      </c>
      <c r="D393" s="7">
        <v>175579</v>
      </c>
      <c r="E393" s="24" t="s">
        <v>9</v>
      </c>
      <c r="F393" s="11" t="str">
        <f t="shared" si="45"/>
        <v>OK</v>
      </c>
      <c r="G393" s="11" t="str">
        <f>IF(COUNTIFS($A:$A,A393,$E:E,E393)&gt;1,"NOK","OK")</f>
        <v>OK</v>
      </c>
      <c r="H393" s="11" t="str">
        <f t="shared" si="46"/>
        <v>OK</v>
      </c>
      <c r="I393" s="11" t="str">
        <f t="shared" si="47"/>
        <v>OK</v>
      </c>
      <c r="J393" s="11" t="str">
        <f t="shared" si="48"/>
        <v>OK</v>
      </c>
      <c r="K393" s="11" t="str">
        <f t="shared" si="49"/>
        <v>OK</v>
      </c>
      <c r="R393" t="str">
        <f t="shared" si="44"/>
        <v>Keep</v>
      </c>
    </row>
    <row r="394" spans="1:18" ht="15">
      <c r="A394" s="23" t="s">
        <v>405</v>
      </c>
      <c r="B394" s="24" t="s">
        <v>7</v>
      </c>
      <c r="C394" s="24" t="s">
        <v>172</v>
      </c>
      <c r="D394" s="7">
        <v>31310</v>
      </c>
      <c r="E394" s="24" t="s">
        <v>12</v>
      </c>
      <c r="F394" s="11" t="str">
        <f t="shared" si="45"/>
        <v>OK</v>
      </c>
      <c r="G394" s="11" t="str">
        <f>IF(COUNTIFS($A:$A,A394,$E:E,E394)&gt;1,"NOK","OK")</f>
        <v>OK</v>
      </c>
      <c r="H394" s="11" t="str">
        <f t="shared" si="46"/>
        <v>OK</v>
      </c>
      <c r="I394" s="11" t="str">
        <f t="shared" si="47"/>
        <v>OK</v>
      </c>
      <c r="J394" s="11" t="str">
        <f t="shared" si="48"/>
        <v>OK</v>
      </c>
      <c r="K394" s="11" t="str">
        <f t="shared" si="49"/>
        <v>OK</v>
      </c>
      <c r="R394" t="str">
        <f t="shared" si="44"/>
        <v>Keep</v>
      </c>
    </row>
    <row r="395" spans="1:18" ht="15">
      <c r="A395" s="23" t="s">
        <v>406</v>
      </c>
      <c r="B395" s="24" t="s">
        <v>7</v>
      </c>
      <c r="C395" s="24" t="s">
        <v>172</v>
      </c>
      <c r="D395" s="7">
        <v>131966</v>
      </c>
      <c r="E395" s="24" t="s">
        <v>12</v>
      </c>
      <c r="F395" s="11" t="str">
        <f t="shared" si="45"/>
        <v>OK</v>
      </c>
      <c r="G395" s="11" t="str">
        <f>IF(COUNTIFS($A:$A,A395,$E:E,E395)&gt;1,"NOK","OK")</f>
        <v>OK</v>
      </c>
      <c r="H395" s="11" t="str">
        <f t="shared" si="46"/>
        <v>OK</v>
      </c>
      <c r="I395" s="11" t="str">
        <f t="shared" si="47"/>
        <v>OK</v>
      </c>
      <c r="J395" s="11" t="str">
        <f t="shared" si="48"/>
        <v>OK</v>
      </c>
      <c r="K395" s="11" t="str">
        <f t="shared" si="49"/>
        <v>OK</v>
      </c>
      <c r="R395" t="str">
        <f t="shared" si="44"/>
        <v>Keep</v>
      </c>
    </row>
    <row r="396" spans="1:18" ht="15">
      <c r="A396" s="23" t="s">
        <v>407</v>
      </c>
      <c r="B396" s="24" t="s">
        <v>11</v>
      </c>
      <c r="C396" s="24" t="s">
        <v>172</v>
      </c>
      <c r="D396" s="7">
        <v>251024</v>
      </c>
      <c r="E396" s="24" t="s">
        <v>12</v>
      </c>
      <c r="F396" s="11" t="str">
        <f t="shared" si="45"/>
        <v>OK</v>
      </c>
      <c r="G396" s="11" t="str">
        <f>IF(COUNTIFS($A:$A,A396,$E:E,E396)&gt;1,"NOK","OK")</f>
        <v>OK</v>
      </c>
      <c r="H396" s="11" t="str">
        <f t="shared" si="46"/>
        <v>OK</v>
      </c>
      <c r="I396" s="11" t="str">
        <f t="shared" si="47"/>
        <v>OK</v>
      </c>
      <c r="J396" s="11" t="str">
        <f t="shared" si="48"/>
        <v>OK</v>
      </c>
      <c r="K396" s="11" t="str">
        <f t="shared" si="49"/>
        <v>OK</v>
      </c>
      <c r="R396" t="str">
        <f t="shared" si="44"/>
        <v>Keep</v>
      </c>
    </row>
    <row r="397" spans="1:18" ht="15">
      <c r="A397" s="23" t="s">
        <v>408</v>
      </c>
      <c r="B397" s="24" t="s">
        <v>7</v>
      </c>
      <c r="C397" s="24" t="s">
        <v>172</v>
      </c>
      <c r="D397" s="7">
        <v>85457</v>
      </c>
      <c r="E397" s="24" t="s">
        <v>16</v>
      </c>
      <c r="F397" s="11" t="str">
        <f t="shared" si="45"/>
        <v>OK</v>
      </c>
      <c r="G397" s="11" t="str">
        <f>IF(COUNTIFS($A:$A,A397,$E:E,E397)&gt;1,"NOK","OK")</f>
        <v>OK</v>
      </c>
      <c r="H397" s="11" t="str">
        <f t="shared" si="46"/>
        <v>OK</v>
      </c>
      <c r="I397" s="11" t="str">
        <f t="shared" si="47"/>
        <v>OK</v>
      </c>
      <c r="J397" s="11" t="str">
        <f t="shared" si="48"/>
        <v>OK</v>
      </c>
      <c r="K397" s="11" t="str">
        <f t="shared" si="49"/>
        <v>OK</v>
      </c>
      <c r="R397" t="str">
        <f t="shared" si="44"/>
        <v>Keep</v>
      </c>
    </row>
    <row r="398" spans="1:18" ht="15">
      <c r="A398" s="23" t="s">
        <v>409</v>
      </c>
      <c r="B398" s="24" t="s">
        <v>11</v>
      </c>
      <c r="C398" s="24" t="s">
        <v>172</v>
      </c>
      <c r="D398" s="7">
        <v>134304</v>
      </c>
      <c r="E398" s="24" t="s">
        <v>12</v>
      </c>
      <c r="F398" s="11" t="str">
        <f t="shared" si="45"/>
        <v>OK</v>
      </c>
      <c r="G398" s="11" t="str">
        <f>IF(COUNTIFS($A:$A,A398,$E:E,E398)&gt;1,"NOK","OK")</f>
        <v>OK</v>
      </c>
      <c r="H398" s="11" t="str">
        <f t="shared" si="46"/>
        <v>OK</v>
      </c>
      <c r="I398" s="11" t="str">
        <f t="shared" si="47"/>
        <v>OK</v>
      </c>
      <c r="J398" s="11" t="str">
        <f t="shared" si="48"/>
        <v>OK</v>
      </c>
      <c r="K398" s="11" t="str">
        <f t="shared" si="49"/>
        <v>OK</v>
      </c>
      <c r="R398" t="str">
        <f t="shared" si="44"/>
        <v>Keep</v>
      </c>
    </row>
    <row r="399" spans="1:18" ht="15">
      <c r="A399" s="23" t="s">
        <v>410</v>
      </c>
      <c r="B399" s="24" t="s">
        <v>7</v>
      </c>
      <c r="C399" s="24" t="s">
        <v>172</v>
      </c>
      <c r="D399" s="7">
        <v>216387</v>
      </c>
      <c r="E399" s="24" t="s">
        <v>9</v>
      </c>
      <c r="F399" s="11" t="str">
        <f t="shared" si="45"/>
        <v>OK</v>
      </c>
      <c r="G399" s="11" t="str">
        <f>IF(COUNTIFS($A:$A,A399,$E:E,E399)&gt;1,"NOK","OK")</f>
        <v>OK</v>
      </c>
      <c r="H399" s="11" t="str">
        <f t="shared" si="46"/>
        <v>OK</v>
      </c>
      <c r="I399" s="11" t="str">
        <f t="shared" si="47"/>
        <v>OK</v>
      </c>
      <c r="J399" s="11" t="str">
        <f t="shared" si="48"/>
        <v>OK</v>
      </c>
      <c r="K399" s="11" t="str">
        <f t="shared" si="49"/>
        <v>OK</v>
      </c>
      <c r="R399" t="str">
        <f t="shared" si="44"/>
        <v>Keep</v>
      </c>
    </row>
    <row r="400" spans="1:18" ht="15">
      <c r="A400" s="23" t="s">
        <v>411</v>
      </c>
      <c r="B400" s="24" t="s">
        <v>7</v>
      </c>
      <c r="C400" s="24" t="s">
        <v>172</v>
      </c>
      <c r="D400" s="7">
        <v>166626</v>
      </c>
      <c r="E400" s="24" t="s">
        <v>12</v>
      </c>
      <c r="F400" s="11" t="str">
        <f t="shared" si="45"/>
        <v>OK</v>
      </c>
      <c r="G400" s="11" t="str">
        <f>IF(COUNTIFS($A:$A,A400,$E:E,E400)&gt;1,"NOK","OK")</f>
        <v>OK</v>
      </c>
      <c r="H400" s="11" t="str">
        <f t="shared" si="46"/>
        <v>OK</v>
      </c>
      <c r="I400" s="11" t="str">
        <f t="shared" si="47"/>
        <v>OK</v>
      </c>
      <c r="J400" s="11" t="str">
        <f t="shared" si="48"/>
        <v>OK</v>
      </c>
      <c r="K400" s="11" t="str">
        <f t="shared" si="49"/>
        <v>OK</v>
      </c>
      <c r="R400" t="str">
        <f t="shared" si="44"/>
        <v>Keep</v>
      </c>
    </row>
    <row r="401" spans="1:18" ht="15">
      <c r="A401" s="23" t="s">
        <v>412</v>
      </c>
      <c r="B401" s="24" t="s">
        <v>7</v>
      </c>
      <c r="C401" s="24" t="s">
        <v>172</v>
      </c>
      <c r="D401" s="7">
        <v>78742</v>
      </c>
      <c r="E401" s="24" t="s">
        <v>16</v>
      </c>
      <c r="F401" s="11" t="str">
        <f t="shared" si="45"/>
        <v>OK</v>
      </c>
      <c r="G401" s="11" t="str">
        <f>IF(COUNTIFS($A:$A,A401,$E:E,E401)&gt;1,"NOK","OK")</f>
        <v>OK</v>
      </c>
      <c r="H401" s="11" t="str">
        <f t="shared" si="46"/>
        <v>OK</v>
      </c>
      <c r="I401" s="11" t="str">
        <f t="shared" si="47"/>
        <v>OK</v>
      </c>
      <c r="J401" s="11" t="str">
        <f t="shared" si="48"/>
        <v>OK</v>
      </c>
      <c r="K401" s="11" t="str">
        <f t="shared" si="49"/>
        <v>OK</v>
      </c>
      <c r="R401" t="str">
        <f t="shared" si="44"/>
        <v>Keep</v>
      </c>
    </row>
    <row r="402" spans="1:18" ht="15">
      <c r="A402" s="23" t="s">
        <v>413</v>
      </c>
      <c r="B402" s="24" t="s">
        <v>7</v>
      </c>
      <c r="C402" s="24" t="s">
        <v>172</v>
      </c>
      <c r="D402" s="7">
        <v>156359</v>
      </c>
      <c r="E402" s="24" t="s">
        <v>9</v>
      </c>
      <c r="F402" s="11" t="str">
        <f t="shared" si="45"/>
        <v>OK</v>
      </c>
      <c r="G402" s="11" t="str">
        <f>IF(COUNTIFS($A:$A,A402,$E:E,E402)&gt;1,"NOK","OK")</f>
        <v>OK</v>
      </c>
      <c r="H402" s="11" t="str">
        <f t="shared" si="46"/>
        <v>OK</v>
      </c>
      <c r="I402" s="11" t="str">
        <f t="shared" si="47"/>
        <v>OK</v>
      </c>
      <c r="J402" s="11" t="str">
        <f t="shared" si="48"/>
        <v>OK</v>
      </c>
      <c r="K402" s="11" t="str">
        <f t="shared" si="49"/>
        <v>OK</v>
      </c>
      <c r="R402" t="str">
        <f t="shared" si="44"/>
        <v>Keep</v>
      </c>
    </row>
    <row r="403" spans="1:18" ht="15">
      <c r="A403" s="23" t="s">
        <v>414</v>
      </c>
      <c r="B403" s="24" t="s">
        <v>237</v>
      </c>
      <c r="C403" s="24" t="s">
        <v>172</v>
      </c>
      <c r="D403" s="7">
        <v>211334</v>
      </c>
      <c r="E403" s="24" t="s">
        <v>9</v>
      </c>
      <c r="F403" s="11" t="str">
        <f t="shared" si="45"/>
        <v>OK</v>
      </c>
      <c r="G403" s="11" t="str">
        <f>IF(COUNTIFS($A:$A,A403,$E:E,E403)&gt;1,"NOK","OK")</f>
        <v>OK</v>
      </c>
      <c r="H403" s="11" t="str">
        <f t="shared" si="46"/>
        <v>OK</v>
      </c>
      <c r="I403" s="11" t="str">
        <f t="shared" si="47"/>
        <v>OK</v>
      </c>
      <c r="J403" s="11" t="str">
        <f t="shared" si="48"/>
        <v>OK</v>
      </c>
      <c r="K403" s="11" t="str">
        <f t="shared" si="49"/>
        <v>OK</v>
      </c>
      <c r="R403" t="str">
        <f t="shared" si="44"/>
        <v>Keep</v>
      </c>
    </row>
    <row r="404" spans="1:18" ht="15">
      <c r="A404" s="23" t="s">
        <v>415</v>
      </c>
      <c r="B404" s="24" t="s">
        <v>11</v>
      </c>
      <c r="C404" s="24" t="s">
        <v>172</v>
      </c>
      <c r="D404" s="7">
        <v>83118</v>
      </c>
      <c r="E404" s="24" t="s">
        <v>16</v>
      </c>
      <c r="F404" s="11" t="str">
        <f t="shared" si="45"/>
        <v>OK</v>
      </c>
      <c r="G404" s="11" t="str">
        <f>IF(COUNTIFS($A:$A,A404,$E:E,E404)&gt;1,"NOK","OK")</f>
        <v>OK</v>
      </c>
      <c r="H404" s="11" t="str">
        <f t="shared" si="46"/>
        <v>OK</v>
      </c>
      <c r="I404" s="11" t="str">
        <f t="shared" si="47"/>
        <v>OK</v>
      </c>
      <c r="J404" s="11" t="str">
        <f t="shared" si="48"/>
        <v>OK</v>
      </c>
      <c r="K404" s="11" t="str">
        <f t="shared" si="49"/>
        <v>OK</v>
      </c>
      <c r="R404" t="str">
        <f t="shared" si="44"/>
        <v>Keep</v>
      </c>
    </row>
    <row r="405" spans="1:18" ht="15">
      <c r="A405" s="23" t="s">
        <v>416</v>
      </c>
      <c r="B405" s="24" t="s">
        <v>7</v>
      </c>
      <c r="C405" s="24" t="s">
        <v>172</v>
      </c>
      <c r="D405" s="7">
        <v>165872</v>
      </c>
      <c r="E405" s="24" t="s">
        <v>9</v>
      </c>
      <c r="F405" s="11" t="str">
        <f t="shared" si="45"/>
        <v>OK</v>
      </c>
      <c r="G405" s="11" t="str">
        <f>IF(COUNTIFS($A:$A,A405,$E:E,E405)&gt;1,"NOK","OK")</f>
        <v>OK</v>
      </c>
      <c r="H405" s="11" t="str">
        <f t="shared" si="46"/>
        <v>OK</v>
      </c>
      <c r="I405" s="11" t="str">
        <f t="shared" si="47"/>
        <v>OK</v>
      </c>
      <c r="J405" s="11" t="str">
        <f t="shared" si="48"/>
        <v>OK</v>
      </c>
      <c r="K405" s="11" t="str">
        <f t="shared" si="49"/>
        <v>OK</v>
      </c>
      <c r="R405" t="str">
        <f t="shared" si="44"/>
        <v>Keep</v>
      </c>
    </row>
    <row r="406" spans="1:18" ht="15">
      <c r="A406" s="23" t="s">
        <v>417</v>
      </c>
      <c r="B406" s="24" t="s">
        <v>237</v>
      </c>
      <c r="C406" s="24" t="s">
        <v>172</v>
      </c>
      <c r="D406" s="7">
        <v>39637</v>
      </c>
      <c r="E406" s="24" t="s">
        <v>16</v>
      </c>
      <c r="F406" s="11" t="str">
        <f t="shared" si="45"/>
        <v>OK</v>
      </c>
      <c r="G406" s="11" t="str">
        <f>IF(COUNTIFS($A:$A,A406,$E:E,E406)&gt;1,"NOK","OK")</f>
        <v>OK</v>
      </c>
      <c r="H406" s="11" t="str">
        <f t="shared" si="46"/>
        <v>OK</v>
      </c>
      <c r="I406" s="11" t="str">
        <f t="shared" si="47"/>
        <v>OK</v>
      </c>
      <c r="J406" s="11" t="str">
        <f t="shared" si="48"/>
        <v>OK</v>
      </c>
      <c r="K406" s="11" t="str">
        <f t="shared" si="49"/>
        <v>OK</v>
      </c>
      <c r="R406" t="str">
        <f t="shared" si="44"/>
        <v>Keep</v>
      </c>
    </row>
    <row r="407" spans="1:18" ht="15">
      <c r="A407" s="23" t="s">
        <v>418</v>
      </c>
      <c r="B407" s="24" t="s">
        <v>237</v>
      </c>
      <c r="C407" s="24" t="s">
        <v>172</v>
      </c>
      <c r="D407" s="7">
        <v>113955</v>
      </c>
      <c r="E407" s="24" t="s">
        <v>12</v>
      </c>
      <c r="F407" s="11" t="str">
        <f t="shared" si="45"/>
        <v>OK</v>
      </c>
      <c r="G407" s="11" t="str">
        <f>IF(COUNTIFS($A:$A,A407,$E:E,E407)&gt;1,"NOK","OK")</f>
        <v>OK</v>
      </c>
      <c r="H407" s="11" t="str">
        <f t="shared" si="46"/>
        <v>OK</v>
      </c>
      <c r="I407" s="11" t="str">
        <f t="shared" si="47"/>
        <v>OK</v>
      </c>
      <c r="J407" s="11" t="str">
        <f t="shared" si="48"/>
        <v>OK</v>
      </c>
      <c r="K407" s="11" t="str">
        <f t="shared" si="49"/>
        <v>OK</v>
      </c>
      <c r="R407" t="str">
        <f t="shared" si="44"/>
        <v>Keep</v>
      </c>
    </row>
    <row r="408" spans="1:18" ht="15">
      <c r="A408" s="23" t="s">
        <v>419</v>
      </c>
      <c r="B408" s="24" t="s">
        <v>7</v>
      </c>
      <c r="C408" s="24" t="s">
        <v>172</v>
      </c>
      <c r="D408" s="7">
        <v>140206</v>
      </c>
      <c r="E408" s="24" t="s">
        <v>12</v>
      </c>
      <c r="F408" s="11" t="str">
        <f t="shared" si="45"/>
        <v>OK</v>
      </c>
      <c r="G408" s="11" t="str">
        <f>IF(COUNTIFS($A:$A,A408,$E:E,E408)&gt;1,"NOK","OK")</f>
        <v>OK</v>
      </c>
      <c r="H408" s="11" t="str">
        <f t="shared" si="46"/>
        <v>OK</v>
      </c>
      <c r="I408" s="11" t="str">
        <f t="shared" si="47"/>
        <v>OK</v>
      </c>
      <c r="J408" s="11" t="str">
        <f t="shared" si="48"/>
        <v>OK</v>
      </c>
      <c r="K408" s="11" t="str">
        <f t="shared" si="49"/>
        <v>OK</v>
      </c>
      <c r="R408" t="str">
        <f t="shared" si="44"/>
        <v>Keep</v>
      </c>
    </row>
    <row r="409" spans="1:18" ht="15">
      <c r="A409" s="23" t="s">
        <v>420</v>
      </c>
      <c r="B409" s="24" t="s">
        <v>11</v>
      </c>
      <c r="C409" s="24" t="s">
        <v>172</v>
      </c>
      <c r="D409" s="7">
        <v>44699</v>
      </c>
      <c r="E409" s="24" t="s">
        <v>9</v>
      </c>
      <c r="F409" s="11" t="str">
        <f t="shared" si="45"/>
        <v>OK</v>
      </c>
      <c r="G409" s="11" t="str">
        <f>IF(COUNTIFS($A:$A,A409,$E:E,E409)&gt;1,"NOK","OK")</f>
        <v>OK</v>
      </c>
      <c r="H409" s="11" t="str">
        <f t="shared" si="46"/>
        <v>OK</v>
      </c>
      <c r="I409" s="11" t="str">
        <f t="shared" si="47"/>
        <v>OK</v>
      </c>
      <c r="J409" s="11" t="str">
        <f t="shared" si="48"/>
        <v>OK</v>
      </c>
      <c r="K409" s="11" t="str">
        <f t="shared" si="49"/>
        <v>OK</v>
      </c>
      <c r="R409" t="str">
        <f t="shared" si="44"/>
        <v>Keep</v>
      </c>
    </row>
    <row r="410" spans="1:18" ht="15">
      <c r="A410" s="23" t="s">
        <v>421</v>
      </c>
      <c r="B410" s="24" t="s">
        <v>7</v>
      </c>
      <c r="C410" s="24" t="s">
        <v>172</v>
      </c>
      <c r="D410" s="7">
        <v>293879</v>
      </c>
      <c r="E410" s="24" t="s">
        <v>9</v>
      </c>
      <c r="F410" s="11" t="str">
        <f t="shared" si="45"/>
        <v>OK</v>
      </c>
      <c r="G410" s="11" t="str">
        <f>IF(COUNTIFS($A:$A,A410,$E:E,E410)&gt;1,"NOK","OK")</f>
        <v>OK</v>
      </c>
      <c r="H410" s="11" t="str">
        <f t="shared" si="46"/>
        <v>OK</v>
      </c>
      <c r="I410" s="11" t="str">
        <f t="shared" si="47"/>
        <v>OK</v>
      </c>
      <c r="J410" s="11" t="str">
        <f t="shared" si="48"/>
        <v>OK</v>
      </c>
      <c r="K410" s="11" t="str">
        <f t="shared" si="49"/>
        <v>OK</v>
      </c>
      <c r="R410" t="str">
        <f t="shared" si="44"/>
        <v>Keep</v>
      </c>
    </row>
    <row r="411" spans="1:18" ht="15">
      <c r="A411" s="23" t="s">
        <v>422</v>
      </c>
      <c r="B411" s="24" t="s">
        <v>11</v>
      </c>
      <c r="C411" s="24" t="s">
        <v>172</v>
      </c>
      <c r="D411" s="7">
        <v>195358</v>
      </c>
      <c r="E411" s="24" t="s">
        <v>9</v>
      </c>
      <c r="F411" s="11" t="str">
        <f t="shared" si="45"/>
        <v>OK</v>
      </c>
      <c r="G411" s="11" t="str">
        <f>IF(COUNTIFS($A:$A,A411,$E:E,E411)&gt;1,"NOK","OK")</f>
        <v>OK</v>
      </c>
      <c r="H411" s="11" t="str">
        <f t="shared" si="46"/>
        <v>OK</v>
      </c>
      <c r="I411" s="11" t="str">
        <f t="shared" si="47"/>
        <v>OK</v>
      </c>
      <c r="J411" s="11" t="str">
        <f t="shared" si="48"/>
        <v>OK</v>
      </c>
      <c r="K411" s="11" t="str">
        <f t="shared" si="49"/>
        <v>OK</v>
      </c>
      <c r="R411" t="str">
        <f t="shared" si="44"/>
        <v>Keep</v>
      </c>
    </row>
    <row r="412" spans="1:18" ht="15">
      <c r="A412" s="23" t="s">
        <v>423</v>
      </c>
      <c r="B412" s="24" t="s">
        <v>11</v>
      </c>
      <c r="C412" s="24" t="s">
        <v>172</v>
      </c>
      <c r="D412" s="7">
        <v>69875</v>
      </c>
      <c r="E412" s="24" t="s">
        <v>16</v>
      </c>
      <c r="F412" s="11" t="str">
        <f t="shared" si="45"/>
        <v>OK</v>
      </c>
      <c r="G412" s="11" t="str">
        <f>IF(COUNTIFS($A:$A,A412,$E:E,E412)&gt;1,"NOK","OK")</f>
        <v>OK</v>
      </c>
      <c r="H412" s="11" t="str">
        <f t="shared" si="46"/>
        <v>OK</v>
      </c>
      <c r="I412" s="11" t="str">
        <f t="shared" si="47"/>
        <v>OK</v>
      </c>
      <c r="J412" s="11" t="str">
        <f t="shared" si="48"/>
        <v>OK</v>
      </c>
      <c r="K412" s="11" t="str">
        <f t="shared" si="49"/>
        <v>OK</v>
      </c>
      <c r="R412" t="str">
        <f t="shared" si="44"/>
        <v>Keep</v>
      </c>
    </row>
    <row r="413" spans="1:18" ht="15">
      <c r="A413" s="23" t="s">
        <v>424</v>
      </c>
      <c r="B413" s="24" t="s">
        <v>7</v>
      </c>
      <c r="C413" s="24" t="s">
        <v>172</v>
      </c>
      <c r="D413" s="7">
        <v>2323</v>
      </c>
      <c r="E413" s="24" t="s">
        <v>16</v>
      </c>
      <c r="F413" s="11" t="str">
        <f t="shared" si="45"/>
        <v>OK</v>
      </c>
      <c r="G413" s="11" t="str">
        <f>IF(COUNTIFS($A:$A,A413,$E:E,E413)&gt;1,"NOK","OK")</f>
        <v>OK</v>
      </c>
      <c r="H413" s="11" t="str">
        <f t="shared" si="46"/>
        <v>OK</v>
      </c>
      <c r="I413" s="11" t="str">
        <f t="shared" si="47"/>
        <v>OK</v>
      </c>
      <c r="J413" s="11" t="str">
        <f t="shared" si="48"/>
        <v>OK</v>
      </c>
      <c r="K413" s="11" t="str">
        <f t="shared" si="49"/>
        <v>OK</v>
      </c>
      <c r="R413" t="str">
        <f t="shared" si="44"/>
        <v>Keep</v>
      </c>
    </row>
    <row r="414" spans="1:18" ht="15">
      <c r="A414" s="23" t="s">
        <v>425</v>
      </c>
      <c r="B414" s="24" t="s">
        <v>7</v>
      </c>
      <c r="C414" s="24" t="s">
        <v>172</v>
      </c>
      <c r="D414" s="7">
        <v>283078</v>
      </c>
      <c r="E414" s="24" t="s">
        <v>12</v>
      </c>
      <c r="F414" s="11" t="str">
        <f t="shared" si="45"/>
        <v>OK</v>
      </c>
      <c r="G414" s="11" t="str">
        <f>IF(COUNTIFS($A:$A,A414,$E:E,E414)&gt;1,"NOK","OK")</f>
        <v>OK</v>
      </c>
      <c r="H414" s="11" t="str">
        <f t="shared" si="46"/>
        <v>OK</v>
      </c>
      <c r="I414" s="11" t="str">
        <f t="shared" si="47"/>
        <v>OK</v>
      </c>
      <c r="J414" s="11" t="str">
        <f t="shared" si="48"/>
        <v>OK</v>
      </c>
      <c r="K414" s="11" t="str">
        <f t="shared" si="49"/>
        <v>OK</v>
      </c>
      <c r="R414" t="str">
        <f t="shared" si="44"/>
        <v>Keep</v>
      </c>
    </row>
    <row r="415" spans="1:18" ht="15">
      <c r="A415" s="23" t="s">
        <v>426</v>
      </c>
      <c r="B415" s="24" t="s">
        <v>7</v>
      </c>
      <c r="C415" s="24" t="s">
        <v>172</v>
      </c>
      <c r="D415" s="7">
        <v>213741</v>
      </c>
      <c r="E415" s="24" t="s">
        <v>12</v>
      </c>
      <c r="F415" s="11" t="str">
        <f t="shared" si="45"/>
        <v>OK</v>
      </c>
      <c r="G415" s="11" t="str">
        <f>IF(COUNTIFS($A:$A,A415,$E:E,E415)&gt;1,"NOK","OK")</f>
        <v>OK</v>
      </c>
      <c r="H415" s="11" t="str">
        <f t="shared" si="46"/>
        <v>OK</v>
      </c>
      <c r="I415" s="11" t="str">
        <f t="shared" si="47"/>
        <v>OK</v>
      </c>
      <c r="J415" s="11" t="str">
        <f t="shared" si="48"/>
        <v>OK</v>
      </c>
      <c r="K415" s="11" t="str">
        <f t="shared" si="49"/>
        <v>OK</v>
      </c>
      <c r="R415" t="str">
        <f t="shared" si="44"/>
        <v>Keep</v>
      </c>
    </row>
    <row r="416" spans="1:18" ht="15">
      <c r="A416" s="23" t="s">
        <v>427</v>
      </c>
      <c r="B416" s="24" t="s">
        <v>7</v>
      </c>
      <c r="C416" s="24" t="s">
        <v>172</v>
      </c>
      <c r="D416" s="7">
        <v>64627</v>
      </c>
      <c r="E416" s="24" t="s">
        <v>16</v>
      </c>
      <c r="F416" s="11" t="str">
        <f t="shared" si="45"/>
        <v>OK</v>
      </c>
      <c r="G416" s="11" t="str">
        <f>IF(COUNTIFS($A:$A,A416,$E:E,E416)&gt;1,"NOK","OK")</f>
        <v>OK</v>
      </c>
      <c r="H416" s="11" t="str">
        <f t="shared" si="46"/>
        <v>OK</v>
      </c>
      <c r="I416" s="11" t="str">
        <f t="shared" si="47"/>
        <v>OK</v>
      </c>
      <c r="J416" s="11" t="str">
        <f t="shared" si="48"/>
        <v>OK</v>
      </c>
      <c r="K416" s="11" t="str">
        <f t="shared" si="49"/>
        <v>OK</v>
      </c>
      <c r="R416" t="str">
        <f t="shared" si="44"/>
        <v>Keep</v>
      </c>
    </row>
    <row r="417" spans="1:18" ht="15">
      <c r="A417" s="23" t="s">
        <v>428</v>
      </c>
      <c r="B417" s="24" t="s">
        <v>7</v>
      </c>
      <c r="C417" s="24" t="s">
        <v>172</v>
      </c>
      <c r="D417" s="7">
        <v>98058</v>
      </c>
      <c r="E417" s="24" t="s">
        <v>16</v>
      </c>
      <c r="F417" s="11" t="str">
        <f t="shared" si="45"/>
        <v>OK</v>
      </c>
      <c r="G417" s="11" t="str">
        <f>IF(COUNTIFS($A:$A,A417,$E:E,E417)&gt;1,"NOK","OK")</f>
        <v>OK</v>
      </c>
      <c r="H417" s="11" t="str">
        <f t="shared" si="46"/>
        <v>OK</v>
      </c>
      <c r="I417" s="11" t="str">
        <f t="shared" si="47"/>
        <v>OK</v>
      </c>
      <c r="J417" s="11" t="str">
        <f t="shared" si="48"/>
        <v>OK</v>
      </c>
      <c r="K417" s="11" t="str">
        <f t="shared" si="49"/>
        <v>OK</v>
      </c>
      <c r="R417" t="str">
        <f t="shared" si="44"/>
        <v>Keep</v>
      </c>
    </row>
    <row r="418" spans="1:18" ht="15">
      <c r="A418" s="23" t="s">
        <v>429</v>
      </c>
      <c r="B418" s="24" t="s">
        <v>7</v>
      </c>
      <c r="C418" s="24" t="s">
        <v>172</v>
      </c>
      <c r="D418" s="7">
        <v>295469</v>
      </c>
      <c r="E418" s="24" t="s">
        <v>16</v>
      </c>
      <c r="F418" s="11" t="str">
        <f t="shared" si="45"/>
        <v>OK</v>
      </c>
      <c r="G418" s="11" t="str">
        <f>IF(COUNTIFS($A:$A,A418,$E:E,E418)&gt;1,"NOK","OK")</f>
        <v>OK</v>
      </c>
      <c r="H418" s="11" t="str">
        <f t="shared" si="46"/>
        <v>OK</v>
      </c>
      <c r="I418" s="11" t="str">
        <f t="shared" si="47"/>
        <v>OK</v>
      </c>
      <c r="J418" s="11" t="str">
        <f t="shared" si="48"/>
        <v>OK</v>
      </c>
      <c r="K418" s="11" t="str">
        <f t="shared" si="49"/>
        <v>OK</v>
      </c>
      <c r="R418" t="str">
        <f t="shared" si="44"/>
        <v>Keep</v>
      </c>
    </row>
    <row r="419" spans="1:18" ht="15">
      <c r="A419" s="23" t="s">
        <v>430</v>
      </c>
      <c r="B419" s="24" t="s">
        <v>237</v>
      </c>
      <c r="C419" s="24" t="s">
        <v>172</v>
      </c>
      <c r="D419" s="7">
        <v>256380</v>
      </c>
      <c r="E419" s="24" t="s">
        <v>16</v>
      </c>
      <c r="F419" s="11" t="str">
        <f t="shared" si="45"/>
        <v>OK</v>
      </c>
      <c r="G419" s="11" t="str">
        <f>IF(COUNTIFS($A:$A,A419,$E:E,E419)&gt;1,"NOK","OK")</f>
        <v>OK</v>
      </c>
      <c r="H419" s="11" t="str">
        <f t="shared" si="46"/>
        <v>OK</v>
      </c>
      <c r="I419" s="11" t="str">
        <f t="shared" si="47"/>
        <v>OK</v>
      </c>
      <c r="J419" s="11" t="str">
        <f t="shared" si="48"/>
        <v>OK</v>
      </c>
      <c r="K419" s="11" t="str">
        <f t="shared" si="49"/>
        <v>OK</v>
      </c>
      <c r="R419" t="str">
        <f t="shared" si="44"/>
        <v>Keep</v>
      </c>
    </row>
    <row r="420" spans="1:18" ht="15">
      <c r="A420" s="23" t="s">
        <v>431</v>
      </c>
      <c r="B420" s="24" t="s">
        <v>7</v>
      </c>
      <c r="C420" s="24" t="s">
        <v>172</v>
      </c>
      <c r="D420" s="7">
        <v>56596</v>
      </c>
      <c r="E420" s="24" t="s">
        <v>9</v>
      </c>
      <c r="F420" s="11" t="str">
        <f t="shared" si="45"/>
        <v>OK</v>
      </c>
      <c r="G420" s="11" t="str">
        <f>IF(COUNTIFS($A:$A,A420,$E:E,E420)&gt;1,"NOK","OK")</f>
        <v>OK</v>
      </c>
      <c r="H420" s="11" t="str">
        <f t="shared" si="46"/>
        <v>OK</v>
      </c>
      <c r="I420" s="11" t="str">
        <f t="shared" si="47"/>
        <v>OK</v>
      </c>
      <c r="J420" s="11" t="str">
        <f t="shared" si="48"/>
        <v>OK</v>
      </c>
      <c r="K420" s="11" t="str">
        <f t="shared" si="49"/>
        <v>OK</v>
      </c>
      <c r="R420" t="str">
        <f t="shared" si="44"/>
        <v>Keep</v>
      </c>
    </row>
    <row r="421" spans="1:18" ht="15">
      <c r="A421" s="23" t="s">
        <v>432</v>
      </c>
      <c r="B421" s="24" t="s">
        <v>7</v>
      </c>
      <c r="C421" s="24" t="s">
        <v>172</v>
      </c>
      <c r="D421" s="7">
        <v>27844</v>
      </c>
      <c r="E421" s="24" t="s">
        <v>12</v>
      </c>
      <c r="F421" s="11" t="str">
        <f t="shared" si="45"/>
        <v>OK</v>
      </c>
      <c r="G421" s="11" t="str">
        <f>IF(COUNTIFS($A:$A,A421,$E:E,E421)&gt;1,"NOK","OK")</f>
        <v>OK</v>
      </c>
      <c r="H421" s="11" t="str">
        <f t="shared" si="46"/>
        <v>OK</v>
      </c>
      <c r="I421" s="11" t="str">
        <f t="shared" si="47"/>
        <v>OK</v>
      </c>
      <c r="J421" s="11" t="str">
        <f t="shared" si="48"/>
        <v>OK</v>
      </c>
      <c r="K421" s="11" t="str">
        <f t="shared" si="49"/>
        <v>OK</v>
      </c>
      <c r="R421" t="str">
        <f t="shared" si="44"/>
        <v>Keep</v>
      </c>
    </row>
    <row r="422" spans="1:18" ht="15">
      <c r="A422" s="23" t="s">
        <v>433</v>
      </c>
      <c r="B422" s="24" t="s">
        <v>7</v>
      </c>
      <c r="C422" s="24" t="s">
        <v>172</v>
      </c>
      <c r="D422" s="7">
        <v>199575</v>
      </c>
      <c r="E422" s="24" t="s">
        <v>9</v>
      </c>
      <c r="F422" s="11" t="str">
        <f t="shared" si="45"/>
        <v>OK</v>
      </c>
      <c r="G422" s="11" t="str">
        <f>IF(COUNTIFS($A:$A,A422,$E:E,E422)&gt;1,"NOK","OK")</f>
        <v>OK</v>
      </c>
      <c r="H422" s="11" t="str">
        <f t="shared" si="46"/>
        <v>OK</v>
      </c>
      <c r="I422" s="11" t="str">
        <f t="shared" si="47"/>
        <v>OK</v>
      </c>
      <c r="J422" s="11" t="str">
        <f t="shared" si="48"/>
        <v>OK</v>
      </c>
      <c r="K422" s="11" t="str">
        <f t="shared" si="49"/>
        <v>OK</v>
      </c>
      <c r="R422" t="str">
        <f t="shared" si="44"/>
        <v>Keep</v>
      </c>
    </row>
    <row r="423" spans="1:18" ht="15">
      <c r="A423" s="23" t="s">
        <v>434</v>
      </c>
      <c r="B423" s="24" t="s">
        <v>11</v>
      </c>
      <c r="C423" s="24" t="s">
        <v>172</v>
      </c>
      <c r="D423" s="7">
        <v>54514</v>
      </c>
      <c r="E423" s="24" t="s">
        <v>12</v>
      </c>
      <c r="F423" s="11" t="str">
        <f t="shared" si="45"/>
        <v>OK</v>
      </c>
      <c r="G423" s="11" t="str">
        <f>IF(COUNTIFS($A:$A,A423,$E:E,E423)&gt;1,"NOK","OK")</f>
        <v>OK</v>
      </c>
      <c r="H423" s="11" t="str">
        <f t="shared" si="46"/>
        <v>OK</v>
      </c>
      <c r="I423" s="11" t="str">
        <f t="shared" si="47"/>
        <v>OK</v>
      </c>
      <c r="J423" s="11" t="str">
        <f t="shared" si="48"/>
        <v>OK</v>
      </c>
      <c r="K423" s="11" t="str">
        <f t="shared" si="49"/>
        <v>OK</v>
      </c>
      <c r="R423" t="str">
        <f t="shared" si="44"/>
        <v>Keep</v>
      </c>
    </row>
    <row r="424" spans="1:18" ht="15">
      <c r="A424" s="23" t="s">
        <v>435</v>
      </c>
      <c r="B424" s="24" t="s">
        <v>7</v>
      </c>
      <c r="C424" s="24" t="s">
        <v>172</v>
      </c>
      <c r="D424" s="7">
        <v>273910</v>
      </c>
      <c r="E424" s="24" t="s">
        <v>9</v>
      </c>
      <c r="F424" s="11" t="str">
        <f t="shared" si="45"/>
        <v>OK</v>
      </c>
      <c r="G424" s="11" t="str">
        <f>IF(COUNTIFS($A:$A,A424,$E:E,E424)&gt;1,"NOK","OK")</f>
        <v>OK</v>
      </c>
      <c r="H424" s="11" t="str">
        <f t="shared" si="46"/>
        <v>OK</v>
      </c>
      <c r="I424" s="11" t="str">
        <f t="shared" si="47"/>
        <v>OK</v>
      </c>
      <c r="J424" s="11" t="str">
        <f t="shared" si="48"/>
        <v>OK</v>
      </c>
      <c r="K424" s="11" t="str">
        <f t="shared" si="49"/>
        <v>OK</v>
      </c>
      <c r="R424" t="str">
        <f t="shared" si="44"/>
        <v>Keep</v>
      </c>
    </row>
    <row r="425" spans="1:18" ht="15">
      <c r="A425" s="23" t="s">
        <v>436</v>
      </c>
      <c r="B425" s="24" t="s">
        <v>11</v>
      </c>
      <c r="C425" s="24" t="s">
        <v>172</v>
      </c>
      <c r="D425" s="7">
        <v>269589</v>
      </c>
      <c r="E425" s="24" t="s">
        <v>12</v>
      </c>
      <c r="F425" s="11" t="str">
        <f t="shared" si="45"/>
        <v>OK</v>
      </c>
      <c r="G425" s="11" t="str">
        <f>IF(COUNTIFS($A:$A,A425,$E:E,E425)&gt;1,"NOK","OK")</f>
        <v>OK</v>
      </c>
      <c r="H425" s="11" t="str">
        <f t="shared" si="46"/>
        <v>OK</v>
      </c>
      <c r="I425" s="11" t="str">
        <f t="shared" si="47"/>
        <v>OK</v>
      </c>
      <c r="J425" s="11" t="str">
        <f t="shared" si="48"/>
        <v>OK</v>
      </c>
      <c r="K425" s="11" t="str">
        <f t="shared" si="49"/>
        <v>OK</v>
      </c>
      <c r="R425" t="str">
        <f t="shared" si="44"/>
        <v>Keep</v>
      </c>
    </row>
    <row r="426" spans="1:18" ht="15">
      <c r="A426" s="23" t="s">
        <v>437</v>
      </c>
      <c r="B426" s="24" t="s">
        <v>7</v>
      </c>
      <c r="C426" s="24" t="s">
        <v>172</v>
      </c>
      <c r="D426" s="7">
        <v>146808</v>
      </c>
      <c r="E426" s="24" t="s">
        <v>16</v>
      </c>
      <c r="F426" s="11" t="str">
        <f t="shared" si="45"/>
        <v>OK</v>
      </c>
      <c r="G426" s="11" t="str">
        <f>IF(COUNTIFS($A:$A,A426,$E:E,E426)&gt;1,"NOK","OK")</f>
        <v>OK</v>
      </c>
      <c r="H426" s="11" t="str">
        <f t="shared" si="46"/>
        <v>OK</v>
      </c>
      <c r="I426" s="11" t="str">
        <f t="shared" si="47"/>
        <v>OK</v>
      </c>
      <c r="J426" s="11" t="str">
        <f t="shared" si="48"/>
        <v>OK</v>
      </c>
      <c r="K426" s="11" t="str">
        <f t="shared" si="49"/>
        <v>OK</v>
      </c>
      <c r="R426" t="str">
        <f t="shared" si="44"/>
        <v>Keep</v>
      </c>
    </row>
    <row r="427" spans="1:18" ht="15">
      <c r="A427" s="23" t="s">
        <v>438</v>
      </c>
      <c r="B427" s="24" t="s">
        <v>7</v>
      </c>
      <c r="C427" s="24" t="s">
        <v>172</v>
      </c>
      <c r="D427" s="7">
        <v>125235</v>
      </c>
      <c r="E427" s="24" t="s">
        <v>12</v>
      </c>
      <c r="F427" s="11" t="str">
        <f t="shared" si="45"/>
        <v>OK</v>
      </c>
      <c r="G427" s="11" t="str">
        <f>IF(COUNTIFS($A:$A,A427,$E:E,E427)&gt;1,"NOK","OK")</f>
        <v>OK</v>
      </c>
      <c r="H427" s="11" t="str">
        <f t="shared" si="46"/>
        <v>OK</v>
      </c>
      <c r="I427" s="11" t="str">
        <f t="shared" si="47"/>
        <v>OK</v>
      </c>
      <c r="J427" s="11" t="str">
        <f t="shared" si="48"/>
        <v>OK</v>
      </c>
      <c r="K427" s="11" t="str">
        <f t="shared" si="49"/>
        <v>OK</v>
      </c>
      <c r="R427" t="str">
        <f t="shared" si="44"/>
        <v>Keep</v>
      </c>
    </row>
    <row r="428" spans="1:18" ht="15">
      <c r="A428" s="23" t="s">
        <v>439</v>
      </c>
      <c r="B428" s="24" t="s">
        <v>7</v>
      </c>
      <c r="C428" s="24" t="s">
        <v>172</v>
      </c>
      <c r="D428" s="7">
        <v>246839</v>
      </c>
      <c r="E428" s="24" t="s">
        <v>12</v>
      </c>
      <c r="F428" s="11" t="str">
        <f t="shared" si="45"/>
        <v>OK</v>
      </c>
      <c r="G428" s="11" t="str">
        <f>IF(COUNTIFS($A:$A,A428,$E:E,E428)&gt;1,"NOK","OK")</f>
        <v>OK</v>
      </c>
      <c r="H428" s="11" t="str">
        <f t="shared" si="46"/>
        <v>OK</v>
      </c>
      <c r="I428" s="11" t="str">
        <f t="shared" si="47"/>
        <v>OK</v>
      </c>
      <c r="J428" s="11" t="str">
        <f t="shared" si="48"/>
        <v>OK</v>
      </c>
      <c r="K428" s="11" t="str">
        <f t="shared" si="49"/>
        <v>OK</v>
      </c>
      <c r="R428" t="str">
        <f t="shared" si="44"/>
        <v>Keep</v>
      </c>
    </row>
    <row r="429" spans="1:18" ht="15">
      <c r="A429" s="23" t="s">
        <v>440</v>
      </c>
      <c r="B429" s="24" t="s">
        <v>7</v>
      </c>
      <c r="C429" s="24" t="s">
        <v>172</v>
      </c>
      <c r="D429" s="7">
        <v>204874</v>
      </c>
      <c r="E429" s="24" t="s">
        <v>16</v>
      </c>
      <c r="F429" s="11" t="str">
        <f t="shared" si="45"/>
        <v>OK</v>
      </c>
      <c r="G429" s="11" t="str">
        <f>IF(COUNTIFS($A:$A,A429,$E:E,E429)&gt;1,"NOK","OK")</f>
        <v>OK</v>
      </c>
      <c r="H429" s="11" t="str">
        <f t="shared" si="46"/>
        <v>OK</v>
      </c>
      <c r="I429" s="11" t="str">
        <f t="shared" si="47"/>
        <v>OK</v>
      </c>
      <c r="J429" s="11" t="str">
        <f t="shared" si="48"/>
        <v>OK</v>
      </c>
      <c r="K429" s="11" t="str">
        <f t="shared" si="49"/>
        <v>OK</v>
      </c>
      <c r="R429" t="str">
        <f t="shared" si="44"/>
        <v>Keep</v>
      </c>
    </row>
    <row r="430" spans="1:18" ht="15">
      <c r="A430" s="23" t="s">
        <v>441</v>
      </c>
      <c r="B430" s="24" t="s">
        <v>11</v>
      </c>
      <c r="C430" s="24" t="s">
        <v>172</v>
      </c>
      <c r="D430" s="7">
        <v>110656</v>
      </c>
      <c r="E430" s="24" t="s">
        <v>9</v>
      </c>
      <c r="F430" s="11" t="str">
        <f t="shared" si="45"/>
        <v>OK</v>
      </c>
      <c r="G430" s="11" t="str">
        <f>IF(COUNTIFS($A:$A,A430,$E:E,E430)&gt;1,"NOK","OK")</f>
        <v>OK</v>
      </c>
      <c r="H430" s="11" t="str">
        <f t="shared" si="46"/>
        <v>OK</v>
      </c>
      <c r="I430" s="11" t="str">
        <f t="shared" si="47"/>
        <v>OK</v>
      </c>
      <c r="J430" s="11" t="str">
        <f t="shared" si="48"/>
        <v>OK</v>
      </c>
      <c r="K430" s="11" t="str">
        <f t="shared" si="49"/>
        <v>OK</v>
      </c>
      <c r="R430" t="str">
        <f t="shared" si="44"/>
        <v>Keep</v>
      </c>
    </row>
    <row r="431" spans="1:18" ht="15">
      <c r="A431" s="23" t="s">
        <v>442</v>
      </c>
      <c r="B431" s="24" t="s">
        <v>7</v>
      </c>
      <c r="C431" s="24" t="s">
        <v>172</v>
      </c>
      <c r="D431" s="7">
        <v>251402</v>
      </c>
      <c r="E431" s="24" t="s">
        <v>9</v>
      </c>
      <c r="F431" s="11" t="str">
        <f t="shared" si="45"/>
        <v>OK</v>
      </c>
      <c r="G431" s="11" t="str">
        <f>IF(COUNTIFS($A:$A,A431,$E:E,E431)&gt;1,"NOK","OK")</f>
        <v>OK</v>
      </c>
      <c r="H431" s="11" t="str">
        <f t="shared" si="46"/>
        <v>OK</v>
      </c>
      <c r="I431" s="11" t="str">
        <f t="shared" si="47"/>
        <v>OK</v>
      </c>
      <c r="J431" s="11" t="str">
        <f t="shared" si="48"/>
        <v>OK</v>
      </c>
      <c r="K431" s="11" t="str">
        <f t="shared" si="49"/>
        <v>OK</v>
      </c>
      <c r="R431" t="str">
        <f t="shared" si="44"/>
        <v>Keep</v>
      </c>
    </row>
    <row r="432" spans="1:18" ht="15">
      <c r="A432" s="23" t="s">
        <v>443</v>
      </c>
      <c r="B432" s="24" t="s">
        <v>7</v>
      </c>
      <c r="C432" s="24" t="s">
        <v>172</v>
      </c>
      <c r="D432" s="7">
        <v>164295</v>
      </c>
      <c r="E432" s="24" t="s">
        <v>16</v>
      </c>
      <c r="F432" s="11" t="str">
        <f t="shared" si="45"/>
        <v>OK</v>
      </c>
      <c r="G432" s="11" t="str">
        <f>IF(COUNTIFS($A:$A,A432,$E:E,E432)&gt;1,"NOK","OK")</f>
        <v>OK</v>
      </c>
      <c r="H432" s="11" t="str">
        <f t="shared" si="46"/>
        <v>OK</v>
      </c>
      <c r="I432" s="11" t="str">
        <f t="shared" si="47"/>
        <v>OK</v>
      </c>
      <c r="J432" s="11" t="str">
        <f t="shared" si="48"/>
        <v>OK</v>
      </c>
      <c r="K432" s="11" t="str">
        <f t="shared" si="49"/>
        <v>OK</v>
      </c>
      <c r="R432" t="str">
        <f t="shared" si="44"/>
        <v>Keep</v>
      </c>
    </row>
    <row r="433" spans="1:18" ht="15">
      <c r="A433" s="23" t="s">
        <v>444</v>
      </c>
      <c r="B433" s="24" t="s">
        <v>7</v>
      </c>
      <c r="C433" s="24" t="s">
        <v>172</v>
      </c>
      <c r="D433" s="7">
        <v>105370</v>
      </c>
      <c r="E433" s="24" t="s">
        <v>9</v>
      </c>
      <c r="F433" s="11" t="str">
        <f t="shared" si="45"/>
        <v>OK</v>
      </c>
      <c r="G433" s="11" t="str">
        <f>IF(COUNTIFS($A:$A,A433,$E:E,E433)&gt;1,"NOK","OK")</f>
        <v>OK</v>
      </c>
      <c r="H433" s="11" t="str">
        <f t="shared" si="46"/>
        <v>OK</v>
      </c>
      <c r="I433" s="11" t="str">
        <f t="shared" si="47"/>
        <v>OK</v>
      </c>
      <c r="J433" s="11" t="str">
        <f t="shared" si="48"/>
        <v>OK</v>
      </c>
      <c r="K433" s="11" t="str">
        <f t="shared" si="49"/>
        <v>OK</v>
      </c>
      <c r="R433" t="str">
        <f t="shared" si="44"/>
        <v>Keep</v>
      </c>
    </row>
    <row r="434" spans="1:18" ht="15">
      <c r="A434" s="23" t="s">
        <v>445</v>
      </c>
      <c r="B434" s="24" t="s">
        <v>7</v>
      </c>
      <c r="C434" s="24" t="s">
        <v>172</v>
      </c>
      <c r="D434" s="7">
        <v>154004</v>
      </c>
      <c r="E434" s="24" t="s">
        <v>9</v>
      </c>
      <c r="F434" s="11" t="str">
        <f t="shared" si="45"/>
        <v>OK</v>
      </c>
      <c r="G434" s="11" t="str">
        <f>IF(COUNTIFS($A:$A,A434,$E:E,E434)&gt;1,"NOK","OK")</f>
        <v>OK</v>
      </c>
      <c r="H434" s="11" t="str">
        <f t="shared" si="46"/>
        <v>OK</v>
      </c>
      <c r="I434" s="11" t="str">
        <f t="shared" si="47"/>
        <v>OK</v>
      </c>
      <c r="J434" s="11" t="str">
        <f t="shared" si="48"/>
        <v>OK</v>
      </c>
      <c r="K434" s="11" t="str">
        <f t="shared" si="49"/>
        <v>OK</v>
      </c>
      <c r="R434" t="str">
        <f t="shared" si="44"/>
        <v>Keep</v>
      </c>
    </row>
    <row r="435" spans="1:18" ht="15">
      <c r="A435" s="23" t="s">
        <v>446</v>
      </c>
      <c r="B435" s="24" t="s">
        <v>237</v>
      </c>
      <c r="C435" s="24" t="s">
        <v>172</v>
      </c>
      <c r="D435" s="7">
        <v>114422</v>
      </c>
      <c r="E435" s="24" t="s">
        <v>12</v>
      </c>
      <c r="F435" s="11" t="str">
        <f t="shared" si="45"/>
        <v>OK</v>
      </c>
      <c r="G435" s="11" t="str">
        <f>IF(COUNTIFS($A:$A,A435,$E:E,E435)&gt;1,"NOK","OK")</f>
        <v>OK</v>
      </c>
      <c r="H435" s="11" t="str">
        <f t="shared" si="46"/>
        <v>OK</v>
      </c>
      <c r="I435" s="11" t="str">
        <f t="shared" si="47"/>
        <v>OK</v>
      </c>
      <c r="J435" s="11" t="str">
        <f t="shared" si="48"/>
        <v>OK</v>
      </c>
      <c r="K435" s="11" t="str">
        <f t="shared" si="49"/>
        <v>OK</v>
      </c>
      <c r="R435" t="str">
        <f t="shared" si="44"/>
        <v>Keep</v>
      </c>
    </row>
    <row r="436" spans="1:18" ht="15">
      <c r="A436" s="23" t="s">
        <v>446</v>
      </c>
      <c r="B436" s="24" t="s">
        <v>237</v>
      </c>
      <c r="C436" s="24" t="s">
        <v>172</v>
      </c>
      <c r="D436" s="7">
        <v>114422</v>
      </c>
      <c r="E436" s="24" t="s">
        <v>9</v>
      </c>
      <c r="F436" s="11" t="str">
        <f t="shared" si="45"/>
        <v>OK</v>
      </c>
      <c r="G436" s="11" t="str">
        <f>IF(COUNTIFS($A:$A,A436,$E:E,E436)&gt;1,"NOK","OK")</f>
        <v>OK</v>
      </c>
      <c r="H436" s="11" t="str">
        <f t="shared" si="46"/>
        <v>OK</v>
      </c>
      <c r="I436" s="11" t="str">
        <f t="shared" si="47"/>
        <v>OK</v>
      </c>
      <c r="J436" s="11" t="str">
        <f t="shared" si="48"/>
        <v>OK</v>
      </c>
      <c r="K436" s="11" t="str">
        <f t="shared" si="49"/>
        <v>OK</v>
      </c>
      <c r="R436" t="str">
        <f t="shared" si="44"/>
        <v>Keep</v>
      </c>
    </row>
    <row r="437" spans="1:18" ht="15">
      <c r="A437" s="23" t="s">
        <v>447</v>
      </c>
      <c r="B437" s="24" t="s">
        <v>7</v>
      </c>
      <c r="C437" s="24" t="s">
        <v>172</v>
      </c>
      <c r="D437" s="7">
        <v>31125</v>
      </c>
      <c r="E437" s="24" t="s">
        <v>16</v>
      </c>
      <c r="F437" s="11" t="str">
        <f t="shared" si="45"/>
        <v>OK</v>
      </c>
      <c r="G437" s="11" t="str">
        <f>IF(COUNTIFS($A:$A,A437,$E:E,E437)&gt;1,"NOK","OK")</f>
        <v>OK</v>
      </c>
      <c r="H437" s="11" t="str">
        <f t="shared" si="46"/>
        <v>OK</v>
      </c>
      <c r="I437" s="11" t="str">
        <f t="shared" si="47"/>
        <v>OK</v>
      </c>
      <c r="J437" s="11" t="str">
        <f t="shared" si="48"/>
        <v>OK</v>
      </c>
      <c r="K437" s="11" t="str">
        <f t="shared" si="49"/>
        <v>OK</v>
      </c>
      <c r="R437" t="str">
        <f t="shared" si="44"/>
        <v>Keep</v>
      </c>
    </row>
    <row r="438" spans="1:18" ht="15">
      <c r="A438" s="23" t="s">
        <v>448</v>
      </c>
      <c r="B438" s="24" t="s">
        <v>7</v>
      </c>
      <c r="C438" s="24" t="s">
        <v>172</v>
      </c>
      <c r="D438" s="7">
        <v>62019</v>
      </c>
      <c r="E438" s="24" t="s">
        <v>9</v>
      </c>
      <c r="F438" s="11" t="str">
        <f t="shared" si="45"/>
        <v>OK</v>
      </c>
      <c r="G438" s="11" t="str">
        <f>IF(COUNTIFS($A:$A,A438,$E:E,E438)&gt;1,"NOK","OK")</f>
        <v>OK</v>
      </c>
      <c r="H438" s="11" t="str">
        <f t="shared" si="46"/>
        <v>OK</v>
      </c>
      <c r="I438" s="11" t="str">
        <f t="shared" si="47"/>
        <v>OK</v>
      </c>
      <c r="J438" s="11" t="str">
        <f t="shared" si="48"/>
        <v>OK</v>
      </c>
      <c r="K438" s="11" t="str">
        <f t="shared" si="49"/>
        <v>OK</v>
      </c>
      <c r="R438" t="str">
        <f t="shared" si="44"/>
        <v>Keep</v>
      </c>
    </row>
    <row r="439" spans="1:18" ht="15">
      <c r="A439" s="23" t="s">
        <v>449</v>
      </c>
      <c r="B439" s="24" t="s">
        <v>7</v>
      </c>
      <c r="C439" s="24" t="s">
        <v>172</v>
      </c>
      <c r="D439" s="7">
        <v>289439</v>
      </c>
      <c r="E439" s="24" t="s">
        <v>12</v>
      </c>
      <c r="F439" s="11" t="str">
        <f t="shared" si="45"/>
        <v>OK</v>
      </c>
      <c r="G439" s="11" t="str">
        <f>IF(COUNTIFS($A:$A,A439,$E:E,E439)&gt;1,"NOK","OK")</f>
        <v>OK</v>
      </c>
      <c r="H439" s="11" t="str">
        <f t="shared" si="46"/>
        <v>OK</v>
      </c>
      <c r="I439" s="11" t="str">
        <f t="shared" si="47"/>
        <v>OK</v>
      </c>
      <c r="J439" s="11" t="str">
        <f t="shared" si="48"/>
        <v>OK</v>
      </c>
      <c r="K439" s="11" t="str">
        <f t="shared" si="49"/>
        <v>OK</v>
      </c>
      <c r="R439" t="str">
        <f t="shared" si="44"/>
        <v>Keep</v>
      </c>
    </row>
    <row r="440" spans="1:18" ht="15">
      <c r="A440" s="23" t="s">
        <v>450</v>
      </c>
      <c r="B440" s="24" t="s">
        <v>11</v>
      </c>
      <c r="C440" s="24" t="s">
        <v>172</v>
      </c>
      <c r="D440" s="7">
        <v>45441</v>
      </c>
      <c r="E440" s="24" t="s">
        <v>16</v>
      </c>
      <c r="F440" s="11" t="str">
        <f t="shared" si="45"/>
        <v>OK</v>
      </c>
      <c r="G440" s="11" t="str">
        <f>IF(COUNTIFS($A:$A,A440,$E:E,E440)&gt;1,"NOK","OK")</f>
        <v>OK</v>
      </c>
      <c r="H440" s="11" t="str">
        <f t="shared" si="46"/>
        <v>OK</v>
      </c>
      <c r="I440" s="11" t="str">
        <f t="shared" si="47"/>
        <v>OK</v>
      </c>
      <c r="J440" s="11" t="str">
        <f t="shared" si="48"/>
        <v>OK</v>
      </c>
      <c r="K440" s="11" t="str">
        <f t="shared" si="49"/>
        <v>OK</v>
      </c>
      <c r="R440" t="str">
        <f t="shared" ref="R440:R503" si="50">IF(COUNTIF(F440:K440, "NOK") &gt; 0, "Hide", "Keep")</f>
        <v>Keep</v>
      </c>
    </row>
    <row r="441" spans="1:18" ht="15">
      <c r="A441" s="23" t="s">
        <v>451</v>
      </c>
      <c r="B441" s="24" t="s">
        <v>237</v>
      </c>
      <c r="C441" s="24" t="s">
        <v>172</v>
      </c>
      <c r="D441" s="7">
        <v>248454</v>
      </c>
      <c r="E441" s="24" t="s">
        <v>12</v>
      </c>
      <c r="F441" s="11" t="str">
        <f t="shared" si="45"/>
        <v>OK</v>
      </c>
      <c r="G441" s="11" t="str">
        <f>IF(COUNTIFS($A:$A,A441,$E:E,E441)&gt;1,"NOK","OK")</f>
        <v>OK</v>
      </c>
      <c r="H441" s="11" t="str">
        <f t="shared" si="46"/>
        <v>OK</v>
      </c>
      <c r="I441" s="11" t="str">
        <f t="shared" si="47"/>
        <v>OK</v>
      </c>
      <c r="J441" s="11" t="str">
        <f t="shared" si="48"/>
        <v>OK</v>
      </c>
      <c r="K441" s="11" t="str">
        <f t="shared" si="49"/>
        <v>OK</v>
      </c>
      <c r="R441" t="str">
        <f t="shared" si="50"/>
        <v>Keep</v>
      </c>
    </row>
    <row r="442" spans="1:18" ht="15">
      <c r="A442" s="23" t="s">
        <v>452</v>
      </c>
      <c r="B442" s="24" t="s">
        <v>25</v>
      </c>
      <c r="C442" s="24" t="s">
        <v>172</v>
      </c>
      <c r="D442" s="7">
        <v>221691</v>
      </c>
      <c r="E442" s="24" t="s">
        <v>12</v>
      </c>
      <c r="F442" s="11" t="str">
        <f t="shared" si="45"/>
        <v>OK</v>
      </c>
      <c r="G442" s="11" t="str">
        <f>IF(COUNTIFS($A:$A,A442,$E:E,E442)&gt;1,"NOK","OK")</f>
        <v>OK</v>
      </c>
      <c r="H442" s="11" t="str">
        <f t="shared" si="46"/>
        <v>OK</v>
      </c>
      <c r="I442" s="11" t="str">
        <f t="shared" si="47"/>
        <v>OK</v>
      </c>
      <c r="J442" s="11" t="str">
        <f t="shared" si="48"/>
        <v>OK</v>
      </c>
      <c r="K442" s="11" t="str">
        <f t="shared" si="49"/>
        <v>OK</v>
      </c>
      <c r="R442" t="str">
        <f t="shared" si="50"/>
        <v>Keep</v>
      </c>
    </row>
    <row r="443" spans="1:18" ht="15">
      <c r="A443" s="23" t="s">
        <v>453</v>
      </c>
      <c r="B443" s="24" t="s">
        <v>7</v>
      </c>
      <c r="C443" s="24" t="s">
        <v>172</v>
      </c>
      <c r="D443" s="7">
        <v>242630</v>
      </c>
      <c r="E443" s="24" t="s">
        <v>9</v>
      </c>
      <c r="F443" s="11" t="str">
        <f t="shared" si="45"/>
        <v>OK</v>
      </c>
      <c r="G443" s="11" t="str">
        <f>IF(COUNTIFS($A:$A,A443,$E:E,E443)&gt;1,"NOK","OK")</f>
        <v>OK</v>
      </c>
      <c r="H443" s="11" t="str">
        <f t="shared" si="46"/>
        <v>OK</v>
      </c>
      <c r="I443" s="11" t="str">
        <f t="shared" si="47"/>
        <v>OK</v>
      </c>
      <c r="J443" s="11" t="str">
        <f t="shared" si="48"/>
        <v>OK</v>
      </c>
      <c r="K443" s="11" t="str">
        <f t="shared" si="49"/>
        <v>OK</v>
      </c>
      <c r="R443" t="str">
        <f t="shared" si="50"/>
        <v>Keep</v>
      </c>
    </row>
    <row r="444" spans="1:18" ht="15">
      <c r="A444" s="23" t="s">
        <v>454</v>
      </c>
      <c r="B444" s="24" t="s">
        <v>7</v>
      </c>
      <c r="C444" s="24" t="s">
        <v>172</v>
      </c>
      <c r="D444" s="7">
        <v>257999</v>
      </c>
      <c r="E444" s="24" t="s">
        <v>16</v>
      </c>
      <c r="F444" s="11" t="str">
        <f t="shared" si="45"/>
        <v>OK</v>
      </c>
      <c r="G444" s="11" t="str">
        <f>IF(COUNTIFS($A:$A,A444,$E:E,E444)&gt;1,"NOK","OK")</f>
        <v>OK</v>
      </c>
      <c r="H444" s="11" t="str">
        <f t="shared" si="46"/>
        <v>OK</v>
      </c>
      <c r="I444" s="11" t="str">
        <f t="shared" si="47"/>
        <v>OK</v>
      </c>
      <c r="J444" s="11" t="str">
        <f t="shared" si="48"/>
        <v>OK</v>
      </c>
      <c r="K444" s="11" t="str">
        <f t="shared" si="49"/>
        <v>OK</v>
      </c>
      <c r="R444" t="str">
        <f t="shared" si="50"/>
        <v>Keep</v>
      </c>
    </row>
    <row r="445" spans="1:18" ht="15">
      <c r="A445" s="23" t="s">
        <v>455</v>
      </c>
      <c r="B445" s="24" t="s">
        <v>7</v>
      </c>
      <c r="C445" s="24" t="s">
        <v>172</v>
      </c>
      <c r="D445" s="7">
        <v>232952</v>
      </c>
      <c r="E445" s="24" t="s">
        <v>9</v>
      </c>
      <c r="F445" s="11" t="str">
        <f t="shared" si="45"/>
        <v>OK</v>
      </c>
      <c r="G445" s="11" t="str">
        <f>IF(COUNTIFS($A:$A,A445,$E:E,E445)&gt;1,"NOK","OK")</f>
        <v>OK</v>
      </c>
      <c r="H445" s="11" t="str">
        <f t="shared" si="46"/>
        <v>OK</v>
      </c>
      <c r="I445" s="11" t="str">
        <f t="shared" si="47"/>
        <v>OK</v>
      </c>
      <c r="J445" s="11" t="str">
        <f t="shared" si="48"/>
        <v>OK</v>
      </c>
      <c r="K445" s="11" t="str">
        <f t="shared" si="49"/>
        <v>OK</v>
      </c>
      <c r="R445" t="str">
        <f t="shared" si="50"/>
        <v>Keep</v>
      </c>
    </row>
    <row r="446" spans="1:18" ht="15">
      <c r="A446" s="23" t="s">
        <v>456</v>
      </c>
      <c r="B446" s="24" t="s">
        <v>7</v>
      </c>
      <c r="C446" s="24" t="s">
        <v>172</v>
      </c>
      <c r="D446" s="7">
        <v>179490</v>
      </c>
      <c r="E446" s="24" t="s">
        <v>16</v>
      </c>
      <c r="F446" s="11" t="str">
        <f t="shared" si="45"/>
        <v>OK</v>
      </c>
      <c r="G446" s="11" t="str">
        <f>IF(COUNTIFS($A:$A,A446,$E:E,E446)&gt;1,"NOK","OK")</f>
        <v>OK</v>
      </c>
      <c r="H446" s="11" t="str">
        <f t="shared" si="46"/>
        <v>OK</v>
      </c>
      <c r="I446" s="11" t="str">
        <f t="shared" si="47"/>
        <v>OK</v>
      </c>
      <c r="J446" s="11" t="str">
        <f t="shared" si="48"/>
        <v>OK</v>
      </c>
      <c r="K446" s="11" t="str">
        <f t="shared" si="49"/>
        <v>OK</v>
      </c>
      <c r="R446" t="str">
        <f t="shared" si="50"/>
        <v>Keep</v>
      </c>
    </row>
    <row r="447" spans="1:18" ht="15">
      <c r="A447" s="23" t="s">
        <v>457</v>
      </c>
      <c r="B447" s="24" t="s">
        <v>11</v>
      </c>
      <c r="C447" s="24" t="s">
        <v>172</v>
      </c>
      <c r="D447" s="7">
        <v>245946</v>
      </c>
      <c r="E447" s="24" t="s">
        <v>12</v>
      </c>
      <c r="F447" s="11" t="str">
        <f t="shared" si="45"/>
        <v>OK</v>
      </c>
      <c r="G447" s="11" t="str">
        <f>IF(COUNTIFS($A:$A,A447,$E:E,E447)&gt;1,"NOK","OK")</f>
        <v>OK</v>
      </c>
      <c r="H447" s="11" t="str">
        <f t="shared" si="46"/>
        <v>OK</v>
      </c>
      <c r="I447" s="11" t="str">
        <f t="shared" si="47"/>
        <v>OK</v>
      </c>
      <c r="J447" s="11" t="str">
        <f t="shared" si="48"/>
        <v>OK</v>
      </c>
      <c r="K447" s="11" t="str">
        <f t="shared" si="49"/>
        <v>OK</v>
      </c>
      <c r="R447" t="str">
        <f t="shared" si="50"/>
        <v>Keep</v>
      </c>
    </row>
    <row r="448" spans="1:18" ht="15">
      <c r="A448" s="23" t="s">
        <v>458</v>
      </c>
      <c r="B448" s="24" t="s">
        <v>7</v>
      </c>
      <c r="C448" s="24" t="s">
        <v>172</v>
      </c>
      <c r="D448" s="7">
        <v>69680</v>
      </c>
      <c r="E448" s="24" t="s">
        <v>12</v>
      </c>
      <c r="F448" s="11" t="str">
        <f t="shared" si="45"/>
        <v>OK</v>
      </c>
      <c r="G448" s="11" t="str">
        <f>IF(COUNTIFS($A:$A,A448,$E:E,E448)&gt;1,"NOK","OK")</f>
        <v>OK</v>
      </c>
      <c r="H448" s="11" t="str">
        <f t="shared" si="46"/>
        <v>OK</v>
      </c>
      <c r="I448" s="11" t="str">
        <f t="shared" si="47"/>
        <v>OK</v>
      </c>
      <c r="J448" s="11" t="str">
        <f t="shared" si="48"/>
        <v>OK</v>
      </c>
      <c r="K448" s="11" t="str">
        <f t="shared" si="49"/>
        <v>OK</v>
      </c>
      <c r="R448" t="str">
        <f t="shared" si="50"/>
        <v>Keep</v>
      </c>
    </row>
    <row r="449" spans="1:18" ht="15">
      <c r="A449" s="23" t="s">
        <v>459</v>
      </c>
      <c r="B449" s="24" t="s">
        <v>7</v>
      </c>
      <c r="C449" s="24" t="s">
        <v>172</v>
      </c>
      <c r="D449" s="7">
        <v>106461</v>
      </c>
      <c r="E449" s="24" t="s">
        <v>9</v>
      </c>
      <c r="F449" s="11" t="str">
        <f t="shared" si="45"/>
        <v>OK</v>
      </c>
      <c r="G449" s="11" t="str">
        <f>IF(COUNTIFS($A:$A,A449,$E:E,E449)&gt;1,"NOK","OK")</f>
        <v>OK</v>
      </c>
      <c r="H449" s="11" t="str">
        <f t="shared" si="46"/>
        <v>OK</v>
      </c>
      <c r="I449" s="11" t="str">
        <f t="shared" si="47"/>
        <v>OK</v>
      </c>
      <c r="J449" s="11" t="str">
        <f t="shared" si="48"/>
        <v>OK</v>
      </c>
      <c r="K449" s="11" t="str">
        <f t="shared" si="49"/>
        <v>OK</v>
      </c>
      <c r="R449" t="str">
        <f t="shared" si="50"/>
        <v>Keep</v>
      </c>
    </row>
    <row r="450" spans="1:18" ht="15">
      <c r="A450" s="23" t="s">
        <v>460</v>
      </c>
      <c r="B450" s="24" t="s">
        <v>237</v>
      </c>
      <c r="C450" s="24" t="s">
        <v>172</v>
      </c>
      <c r="D450" s="7">
        <v>155297</v>
      </c>
      <c r="E450" s="24" t="s">
        <v>9</v>
      </c>
      <c r="F450" s="11" t="str">
        <f t="shared" si="45"/>
        <v>OK</v>
      </c>
      <c r="G450" s="11" t="str">
        <f>IF(COUNTIFS($A:$A,A450,$E:E,E450)&gt;1,"NOK","OK")</f>
        <v>OK</v>
      </c>
      <c r="H450" s="11" t="str">
        <f t="shared" si="46"/>
        <v>OK</v>
      </c>
      <c r="I450" s="11" t="str">
        <f t="shared" si="47"/>
        <v>OK</v>
      </c>
      <c r="J450" s="11" t="str">
        <f t="shared" si="48"/>
        <v>OK</v>
      </c>
      <c r="K450" s="11" t="str">
        <f t="shared" si="49"/>
        <v>OK</v>
      </c>
      <c r="R450" t="str">
        <f t="shared" si="50"/>
        <v>Keep</v>
      </c>
    </row>
    <row r="451" spans="1:18" ht="15">
      <c r="A451" s="23" t="s">
        <v>461</v>
      </c>
      <c r="B451" s="24" t="s">
        <v>7</v>
      </c>
      <c r="C451" s="24" t="s">
        <v>172</v>
      </c>
      <c r="D451" s="7">
        <v>278443</v>
      </c>
      <c r="E451" s="24" t="s">
        <v>9</v>
      </c>
      <c r="F451" s="11" t="str">
        <f t="shared" si="45"/>
        <v>OK</v>
      </c>
      <c r="G451" s="11" t="str">
        <f>IF(COUNTIFS($A:$A,A451,$E:E,E451)&gt;1,"NOK","OK")</f>
        <v>OK</v>
      </c>
      <c r="H451" s="11" t="str">
        <f t="shared" si="46"/>
        <v>OK</v>
      </c>
      <c r="I451" s="11" t="str">
        <f t="shared" si="47"/>
        <v>OK</v>
      </c>
      <c r="J451" s="11" t="str">
        <f t="shared" si="48"/>
        <v>OK</v>
      </c>
      <c r="K451" s="11" t="str">
        <f t="shared" si="49"/>
        <v>OK</v>
      </c>
      <c r="R451" t="str">
        <f t="shared" si="50"/>
        <v>Keep</v>
      </c>
    </row>
    <row r="452" spans="1:18" ht="15">
      <c r="A452" s="23" t="s">
        <v>462</v>
      </c>
      <c r="B452" s="24" t="s">
        <v>7</v>
      </c>
      <c r="C452" s="24" t="s">
        <v>172</v>
      </c>
      <c r="D452" s="7">
        <v>11596</v>
      </c>
      <c r="E452" s="24" t="s">
        <v>16</v>
      </c>
      <c r="F452" s="11" t="str">
        <f t="shared" ref="F452:F515" si="51">IF(COUNTA($A452:$E452),"OK","NOK")</f>
        <v>OK</v>
      </c>
      <c r="G452" s="11" t="str">
        <f>IF(COUNTIFS($A:$A,A452,$E:E,E452)&gt;1,"NOK","OK")</f>
        <v>OK</v>
      </c>
      <c r="H452" s="11" t="str">
        <f t="shared" ref="H452:H515" si="52">IF(OR(B452="Corporate", B452="Emerging", B452="Enterprise", B452="Small Business"),"OK","NOK")</f>
        <v>OK</v>
      </c>
      <c r="I452" s="11" t="str">
        <f t="shared" ref="I452:I515" si="53">IF(OR(C452="ANZ", C452="DACH", C452="France", C452="North America", C452="UK"),"OK","NOK")</f>
        <v>OK</v>
      </c>
      <c r="J452" s="11" t="str">
        <f t="shared" ref="J452:J515" si="54">IF(OR(D452&lt;=0, D452&gt;300000),"NOK","OK")</f>
        <v>OK</v>
      </c>
      <c r="K452" s="11" t="str">
        <f t="shared" ref="K452:K515" si="55">IF(OR(E452="FY23", E452="FY24", E452="FY25"),"OK","NOK")</f>
        <v>OK</v>
      </c>
      <c r="R452" t="str">
        <f t="shared" si="50"/>
        <v>Keep</v>
      </c>
    </row>
    <row r="453" spans="1:18" ht="15">
      <c r="A453" s="23" t="s">
        <v>463</v>
      </c>
      <c r="B453" s="24" t="s">
        <v>11</v>
      </c>
      <c r="C453" s="24" t="s">
        <v>172</v>
      </c>
      <c r="D453" s="7">
        <v>124791</v>
      </c>
      <c r="E453" s="24" t="s">
        <v>9</v>
      </c>
      <c r="F453" s="11" t="str">
        <f t="shared" si="51"/>
        <v>OK</v>
      </c>
      <c r="G453" s="11" t="str">
        <f>IF(COUNTIFS($A:$A,A453,$E:E,E453)&gt;1,"NOK","OK")</f>
        <v>OK</v>
      </c>
      <c r="H453" s="11" t="str">
        <f t="shared" si="52"/>
        <v>OK</v>
      </c>
      <c r="I453" s="11" t="str">
        <f t="shared" si="53"/>
        <v>OK</v>
      </c>
      <c r="J453" s="11" t="str">
        <f t="shared" si="54"/>
        <v>OK</v>
      </c>
      <c r="K453" s="11" t="str">
        <f t="shared" si="55"/>
        <v>OK</v>
      </c>
      <c r="R453" t="str">
        <f t="shared" si="50"/>
        <v>Keep</v>
      </c>
    </row>
    <row r="454" spans="1:18" ht="15">
      <c r="A454" s="23" t="s">
        <v>464</v>
      </c>
      <c r="B454" s="24" t="s">
        <v>7</v>
      </c>
      <c r="C454" s="24" t="s">
        <v>172</v>
      </c>
      <c r="D454" s="7">
        <v>160319</v>
      </c>
      <c r="E454" s="24" t="s">
        <v>9</v>
      </c>
      <c r="F454" s="11" t="str">
        <f t="shared" si="51"/>
        <v>OK</v>
      </c>
      <c r="G454" s="11" t="str">
        <f>IF(COUNTIFS($A:$A,A454,$E:E,E454)&gt;1,"NOK","OK")</f>
        <v>OK</v>
      </c>
      <c r="H454" s="11" t="str">
        <f t="shared" si="52"/>
        <v>OK</v>
      </c>
      <c r="I454" s="11" t="str">
        <f t="shared" si="53"/>
        <v>OK</v>
      </c>
      <c r="J454" s="11" t="str">
        <f t="shared" si="54"/>
        <v>OK</v>
      </c>
      <c r="K454" s="11" t="str">
        <f t="shared" si="55"/>
        <v>OK</v>
      </c>
      <c r="R454" t="str">
        <f t="shared" si="50"/>
        <v>Keep</v>
      </c>
    </row>
    <row r="455" spans="1:18" ht="15">
      <c r="A455" s="23" t="s">
        <v>465</v>
      </c>
      <c r="B455" s="24" t="s">
        <v>11</v>
      </c>
      <c r="C455" s="24" t="s">
        <v>172</v>
      </c>
      <c r="D455" s="7">
        <v>129209</v>
      </c>
      <c r="E455" s="24" t="s">
        <v>12</v>
      </c>
      <c r="F455" s="11" t="str">
        <f t="shared" si="51"/>
        <v>OK</v>
      </c>
      <c r="G455" s="11" t="str">
        <f>IF(COUNTIFS($A:$A,A455,$E:E,E455)&gt;1,"NOK","OK")</f>
        <v>OK</v>
      </c>
      <c r="H455" s="11" t="str">
        <f t="shared" si="52"/>
        <v>OK</v>
      </c>
      <c r="I455" s="11" t="str">
        <f t="shared" si="53"/>
        <v>OK</v>
      </c>
      <c r="J455" s="11" t="str">
        <f t="shared" si="54"/>
        <v>OK</v>
      </c>
      <c r="K455" s="11" t="str">
        <f t="shared" si="55"/>
        <v>OK</v>
      </c>
      <c r="R455" t="str">
        <f t="shared" si="50"/>
        <v>Keep</v>
      </c>
    </row>
    <row r="456" spans="1:18" ht="15">
      <c r="A456" s="23" t="s">
        <v>466</v>
      </c>
      <c r="B456" s="24" t="s">
        <v>7</v>
      </c>
      <c r="C456" s="24" t="s">
        <v>172</v>
      </c>
      <c r="D456" s="7">
        <v>62677</v>
      </c>
      <c r="E456" s="24" t="s">
        <v>16</v>
      </c>
      <c r="F456" s="11" t="str">
        <f t="shared" si="51"/>
        <v>OK</v>
      </c>
      <c r="G456" s="11" t="str">
        <f>IF(COUNTIFS($A:$A,A456,$E:E,E456)&gt;1,"NOK","OK")</f>
        <v>OK</v>
      </c>
      <c r="H456" s="11" t="str">
        <f t="shared" si="52"/>
        <v>OK</v>
      </c>
      <c r="I456" s="11" t="str">
        <f t="shared" si="53"/>
        <v>OK</v>
      </c>
      <c r="J456" s="11" t="str">
        <f t="shared" si="54"/>
        <v>OK</v>
      </c>
      <c r="K456" s="11" t="str">
        <f t="shared" si="55"/>
        <v>OK</v>
      </c>
      <c r="R456" t="str">
        <f t="shared" si="50"/>
        <v>Keep</v>
      </c>
    </row>
    <row r="457" spans="1:18" ht="15">
      <c r="A457" s="23" t="s">
        <v>467</v>
      </c>
      <c r="B457" s="24" t="s">
        <v>7</v>
      </c>
      <c r="C457" s="24" t="s">
        <v>172</v>
      </c>
      <c r="D457" s="7">
        <v>273775</v>
      </c>
      <c r="E457" s="24" t="s">
        <v>16</v>
      </c>
      <c r="F457" s="11" t="str">
        <f t="shared" si="51"/>
        <v>OK</v>
      </c>
      <c r="G457" s="11" t="str">
        <f>IF(COUNTIFS($A:$A,A457,$E:E,E457)&gt;1,"NOK","OK")</f>
        <v>OK</v>
      </c>
      <c r="H457" s="11" t="str">
        <f t="shared" si="52"/>
        <v>OK</v>
      </c>
      <c r="I457" s="11" t="str">
        <f t="shared" si="53"/>
        <v>OK</v>
      </c>
      <c r="J457" s="11" t="str">
        <f t="shared" si="54"/>
        <v>OK</v>
      </c>
      <c r="K457" s="11" t="str">
        <f t="shared" si="55"/>
        <v>OK</v>
      </c>
      <c r="R457" t="str">
        <f t="shared" si="50"/>
        <v>Keep</v>
      </c>
    </row>
    <row r="458" spans="1:18" ht="15">
      <c r="A458" s="23" t="s">
        <v>468</v>
      </c>
      <c r="B458" s="24" t="s">
        <v>11</v>
      </c>
      <c r="C458" s="24" t="s">
        <v>172</v>
      </c>
      <c r="D458" s="7">
        <v>33611</v>
      </c>
      <c r="E458" s="24" t="s">
        <v>12</v>
      </c>
      <c r="F458" s="11" t="str">
        <f t="shared" si="51"/>
        <v>OK</v>
      </c>
      <c r="G458" s="11" t="str">
        <f>IF(COUNTIFS($A:$A,A458,$E:E,E458)&gt;1,"NOK","OK")</f>
        <v>OK</v>
      </c>
      <c r="H458" s="11" t="str">
        <f t="shared" si="52"/>
        <v>OK</v>
      </c>
      <c r="I458" s="11" t="str">
        <f t="shared" si="53"/>
        <v>OK</v>
      </c>
      <c r="J458" s="11" t="str">
        <f t="shared" si="54"/>
        <v>OK</v>
      </c>
      <c r="K458" s="11" t="str">
        <f t="shared" si="55"/>
        <v>OK</v>
      </c>
      <c r="R458" t="str">
        <f t="shared" si="50"/>
        <v>Keep</v>
      </c>
    </row>
    <row r="459" spans="1:18" ht="15">
      <c r="A459" s="23" t="s">
        <v>469</v>
      </c>
      <c r="B459" s="24" t="s">
        <v>237</v>
      </c>
      <c r="C459" s="24" t="s">
        <v>172</v>
      </c>
      <c r="D459" s="7">
        <v>93746</v>
      </c>
      <c r="E459" s="24" t="s">
        <v>9</v>
      </c>
      <c r="F459" s="11" t="str">
        <f t="shared" si="51"/>
        <v>OK</v>
      </c>
      <c r="G459" s="11" t="str">
        <f>IF(COUNTIFS($A:$A,A459,$E:E,E459)&gt;1,"NOK","OK")</f>
        <v>OK</v>
      </c>
      <c r="H459" s="11" t="str">
        <f t="shared" si="52"/>
        <v>OK</v>
      </c>
      <c r="I459" s="11" t="str">
        <f t="shared" si="53"/>
        <v>OK</v>
      </c>
      <c r="J459" s="11" t="str">
        <f t="shared" si="54"/>
        <v>OK</v>
      </c>
      <c r="K459" s="11" t="str">
        <f t="shared" si="55"/>
        <v>OK</v>
      </c>
      <c r="R459" t="str">
        <f t="shared" si="50"/>
        <v>Keep</v>
      </c>
    </row>
    <row r="460" spans="1:18" ht="15">
      <c r="A460" s="23" t="s">
        <v>470</v>
      </c>
      <c r="B460" s="24" t="s">
        <v>7</v>
      </c>
      <c r="C460" s="24" t="s">
        <v>172</v>
      </c>
      <c r="D460" s="7">
        <v>130879</v>
      </c>
      <c r="E460" s="24" t="s">
        <v>16</v>
      </c>
      <c r="F460" s="11" t="str">
        <f t="shared" si="51"/>
        <v>OK</v>
      </c>
      <c r="G460" s="11" t="str">
        <f>IF(COUNTIFS($A:$A,A460,$E:E,E460)&gt;1,"NOK","OK")</f>
        <v>OK</v>
      </c>
      <c r="H460" s="11" t="str">
        <f t="shared" si="52"/>
        <v>OK</v>
      </c>
      <c r="I460" s="11" t="str">
        <f t="shared" si="53"/>
        <v>OK</v>
      </c>
      <c r="J460" s="11" t="str">
        <f t="shared" si="54"/>
        <v>OK</v>
      </c>
      <c r="K460" s="11" t="str">
        <f t="shared" si="55"/>
        <v>OK</v>
      </c>
      <c r="R460" t="str">
        <f t="shared" si="50"/>
        <v>Keep</v>
      </c>
    </row>
    <row r="461" spans="1:18" ht="15">
      <c r="A461" s="23" t="s">
        <v>471</v>
      </c>
      <c r="B461" s="24" t="s">
        <v>7</v>
      </c>
      <c r="C461" s="24" t="s">
        <v>172</v>
      </c>
      <c r="D461" s="7">
        <v>141856</v>
      </c>
      <c r="E461" s="24" t="s">
        <v>16</v>
      </c>
      <c r="F461" s="11" t="str">
        <f t="shared" si="51"/>
        <v>OK</v>
      </c>
      <c r="G461" s="11" t="str">
        <f>IF(COUNTIFS($A:$A,A461,$E:E,E461)&gt;1,"NOK","OK")</f>
        <v>OK</v>
      </c>
      <c r="H461" s="11" t="str">
        <f t="shared" si="52"/>
        <v>OK</v>
      </c>
      <c r="I461" s="11" t="str">
        <f t="shared" si="53"/>
        <v>OK</v>
      </c>
      <c r="J461" s="11" t="str">
        <f t="shared" si="54"/>
        <v>OK</v>
      </c>
      <c r="K461" s="11" t="str">
        <f t="shared" si="55"/>
        <v>OK</v>
      </c>
      <c r="R461" t="str">
        <f t="shared" si="50"/>
        <v>Keep</v>
      </c>
    </row>
    <row r="462" spans="1:18" ht="15">
      <c r="A462" s="23" t="s">
        <v>472</v>
      </c>
      <c r="B462" s="24" t="s">
        <v>7</v>
      </c>
      <c r="C462" s="24" t="s">
        <v>172</v>
      </c>
      <c r="D462" s="7">
        <v>199475</v>
      </c>
      <c r="E462" s="24" t="s">
        <v>9</v>
      </c>
      <c r="F462" s="11" t="str">
        <f t="shared" si="51"/>
        <v>OK</v>
      </c>
      <c r="G462" s="11" t="str">
        <f>IF(COUNTIFS($A:$A,A462,$E:E,E462)&gt;1,"NOK","OK")</f>
        <v>OK</v>
      </c>
      <c r="H462" s="11" t="str">
        <f t="shared" si="52"/>
        <v>OK</v>
      </c>
      <c r="I462" s="11" t="str">
        <f t="shared" si="53"/>
        <v>OK</v>
      </c>
      <c r="J462" s="11" t="str">
        <f t="shared" si="54"/>
        <v>OK</v>
      </c>
      <c r="K462" s="11" t="str">
        <f t="shared" si="55"/>
        <v>OK</v>
      </c>
      <c r="R462" t="str">
        <f t="shared" si="50"/>
        <v>Keep</v>
      </c>
    </row>
    <row r="463" spans="1:18" ht="15">
      <c r="A463" s="23" t="s">
        <v>473</v>
      </c>
      <c r="B463" s="24" t="s">
        <v>11</v>
      </c>
      <c r="C463" s="24" t="s">
        <v>172</v>
      </c>
      <c r="D463" s="7">
        <v>117657</v>
      </c>
      <c r="E463" s="24" t="s">
        <v>16</v>
      </c>
      <c r="F463" s="11" t="str">
        <f t="shared" si="51"/>
        <v>OK</v>
      </c>
      <c r="G463" s="11" t="str">
        <f>IF(COUNTIFS($A:$A,A463,$E:E,E463)&gt;1,"NOK","OK")</f>
        <v>OK</v>
      </c>
      <c r="H463" s="11" t="str">
        <f t="shared" si="52"/>
        <v>OK</v>
      </c>
      <c r="I463" s="11" t="str">
        <f t="shared" si="53"/>
        <v>OK</v>
      </c>
      <c r="J463" s="11" t="str">
        <f t="shared" si="54"/>
        <v>OK</v>
      </c>
      <c r="K463" s="11" t="str">
        <f t="shared" si="55"/>
        <v>OK</v>
      </c>
      <c r="R463" t="str">
        <f t="shared" si="50"/>
        <v>Keep</v>
      </c>
    </row>
    <row r="464" spans="1:18" ht="15">
      <c r="A464" s="23" t="s">
        <v>474</v>
      </c>
      <c r="B464" s="24" t="s">
        <v>7</v>
      </c>
      <c r="C464" s="24" t="s">
        <v>172</v>
      </c>
      <c r="D464" s="7">
        <v>235272</v>
      </c>
      <c r="E464" s="24" t="s">
        <v>12</v>
      </c>
      <c r="F464" s="11" t="str">
        <f t="shared" si="51"/>
        <v>OK</v>
      </c>
      <c r="G464" s="11" t="str">
        <f>IF(COUNTIFS($A:$A,A464,$E:E,E464)&gt;1,"NOK","OK")</f>
        <v>OK</v>
      </c>
      <c r="H464" s="11" t="str">
        <f t="shared" si="52"/>
        <v>OK</v>
      </c>
      <c r="I464" s="11" t="str">
        <f t="shared" si="53"/>
        <v>OK</v>
      </c>
      <c r="J464" s="11" t="str">
        <f t="shared" si="54"/>
        <v>OK</v>
      </c>
      <c r="K464" s="11" t="str">
        <f t="shared" si="55"/>
        <v>OK</v>
      </c>
      <c r="R464" t="str">
        <f t="shared" si="50"/>
        <v>Keep</v>
      </c>
    </row>
    <row r="465" spans="1:18" ht="15">
      <c r="A465" s="23" t="s">
        <v>475</v>
      </c>
      <c r="B465" s="24" t="s">
        <v>7</v>
      </c>
      <c r="C465" s="24" t="s">
        <v>172</v>
      </c>
      <c r="D465" s="7">
        <v>281459</v>
      </c>
      <c r="E465" s="24" t="s">
        <v>9</v>
      </c>
      <c r="F465" s="11" t="str">
        <f t="shared" si="51"/>
        <v>OK</v>
      </c>
      <c r="G465" s="11" t="str">
        <f>IF(COUNTIFS($A:$A,A465,$E:E,E465)&gt;1,"NOK","OK")</f>
        <v>OK</v>
      </c>
      <c r="H465" s="11" t="str">
        <f t="shared" si="52"/>
        <v>OK</v>
      </c>
      <c r="I465" s="11" t="str">
        <f t="shared" si="53"/>
        <v>OK</v>
      </c>
      <c r="J465" s="11" t="str">
        <f t="shared" si="54"/>
        <v>OK</v>
      </c>
      <c r="K465" s="11" t="str">
        <f t="shared" si="55"/>
        <v>OK</v>
      </c>
      <c r="R465" t="str">
        <f t="shared" si="50"/>
        <v>Keep</v>
      </c>
    </row>
    <row r="466" spans="1:18" ht="15">
      <c r="A466" s="23" t="s">
        <v>476</v>
      </c>
      <c r="B466" s="24" t="s">
        <v>7</v>
      </c>
      <c r="C466" s="24" t="s">
        <v>172</v>
      </c>
      <c r="D466" s="7">
        <v>164525</v>
      </c>
      <c r="E466" s="24" t="s">
        <v>12</v>
      </c>
      <c r="F466" s="11" t="str">
        <f t="shared" si="51"/>
        <v>OK</v>
      </c>
      <c r="G466" s="11" t="str">
        <f>IF(COUNTIFS($A:$A,A466,$E:E,E466)&gt;1,"NOK","OK")</f>
        <v>OK</v>
      </c>
      <c r="H466" s="11" t="str">
        <f t="shared" si="52"/>
        <v>OK</v>
      </c>
      <c r="I466" s="11" t="str">
        <f t="shared" si="53"/>
        <v>OK</v>
      </c>
      <c r="J466" s="11" t="str">
        <f t="shared" si="54"/>
        <v>OK</v>
      </c>
      <c r="K466" s="11" t="str">
        <f t="shared" si="55"/>
        <v>OK</v>
      </c>
      <c r="R466" t="str">
        <f t="shared" si="50"/>
        <v>Keep</v>
      </c>
    </row>
    <row r="467" spans="1:18" ht="15">
      <c r="A467" s="23" t="s">
        <v>477</v>
      </c>
      <c r="B467" s="24" t="s">
        <v>7</v>
      </c>
      <c r="C467" s="24" t="s">
        <v>172</v>
      </c>
      <c r="D467" s="7">
        <v>78412</v>
      </c>
      <c r="E467" s="24" t="s">
        <v>9</v>
      </c>
      <c r="F467" s="11" t="str">
        <f t="shared" si="51"/>
        <v>OK</v>
      </c>
      <c r="G467" s="11" t="str">
        <f>IF(COUNTIFS($A:$A,A467,$E:E,E467)&gt;1,"NOK","OK")</f>
        <v>OK</v>
      </c>
      <c r="H467" s="11" t="str">
        <f t="shared" si="52"/>
        <v>OK</v>
      </c>
      <c r="I467" s="11" t="str">
        <f t="shared" si="53"/>
        <v>OK</v>
      </c>
      <c r="J467" s="11" t="str">
        <f t="shared" si="54"/>
        <v>OK</v>
      </c>
      <c r="K467" s="11" t="str">
        <f t="shared" si="55"/>
        <v>OK</v>
      </c>
      <c r="R467" t="str">
        <f t="shared" si="50"/>
        <v>Keep</v>
      </c>
    </row>
    <row r="468" spans="1:18" ht="15">
      <c r="A468" s="23" t="s">
        <v>478</v>
      </c>
      <c r="B468" s="24" t="s">
        <v>7</v>
      </c>
      <c r="C468" s="24" t="s">
        <v>172</v>
      </c>
      <c r="D468" s="7">
        <v>21838</v>
      </c>
      <c r="E468" s="24" t="s">
        <v>9</v>
      </c>
      <c r="F468" s="11" t="str">
        <f t="shared" si="51"/>
        <v>OK</v>
      </c>
      <c r="G468" s="11" t="str">
        <f>IF(COUNTIFS($A:$A,A468,$E:E,E468)&gt;1,"NOK","OK")</f>
        <v>OK</v>
      </c>
      <c r="H468" s="11" t="str">
        <f t="shared" si="52"/>
        <v>OK</v>
      </c>
      <c r="I468" s="11" t="str">
        <f t="shared" si="53"/>
        <v>OK</v>
      </c>
      <c r="J468" s="11" t="str">
        <f t="shared" si="54"/>
        <v>OK</v>
      </c>
      <c r="K468" s="11" t="str">
        <f t="shared" si="55"/>
        <v>OK</v>
      </c>
      <c r="R468" t="str">
        <f t="shared" si="50"/>
        <v>Keep</v>
      </c>
    </row>
    <row r="469" spans="1:18" ht="15">
      <c r="A469" s="23" t="s">
        <v>479</v>
      </c>
      <c r="B469" s="24" t="s">
        <v>7</v>
      </c>
      <c r="C469" s="24" t="s">
        <v>172</v>
      </c>
      <c r="D469" s="7">
        <v>296342</v>
      </c>
      <c r="E469" s="24" t="s">
        <v>12</v>
      </c>
      <c r="F469" s="11" t="str">
        <f t="shared" si="51"/>
        <v>OK</v>
      </c>
      <c r="G469" s="11" t="str">
        <f>IF(COUNTIFS($A:$A,A469,$E:E,E469)&gt;1,"NOK","OK")</f>
        <v>OK</v>
      </c>
      <c r="H469" s="11" t="str">
        <f t="shared" si="52"/>
        <v>OK</v>
      </c>
      <c r="I469" s="11" t="str">
        <f t="shared" si="53"/>
        <v>OK</v>
      </c>
      <c r="J469" s="11" t="str">
        <f t="shared" si="54"/>
        <v>OK</v>
      </c>
      <c r="K469" s="11" t="str">
        <f t="shared" si="55"/>
        <v>OK</v>
      </c>
      <c r="R469" t="str">
        <f t="shared" si="50"/>
        <v>Keep</v>
      </c>
    </row>
    <row r="470" spans="1:18" ht="15">
      <c r="A470" s="23" t="s">
        <v>480</v>
      </c>
      <c r="B470" s="24" t="s">
        <v>7</v>
      </c>
      <c r="C470" s="24" t="s">
        <v>172</v>
      </c>
      <c r="D470" s="7">
        <v>237987</v>
      </c>
      <c r="E470" s="24" t="s">
        <v>12</v>
      </c>
      <c r="F470" s="11" t="str">
        <f t="shared" si="51"/>
        <v>OK</v>
      </c>
      <c r="G470" s="11" t="str">
        <f>IF(COUNTIFS($A:$A,A470,$E:E,E470)&gt;1,"NOK","OK")</f>
        <v>OK</v>
      </c>
      <c r="H470" s="11" t="str">
        <f t="shared" si="52"/>
        <v>OK</v>
      </c>
      <c r="I470" s="11" t="str">
        <f t="shared" si="53"/>
        <v>OK</v>
      </c>
      <c r="J470" s="11" t="str">
        <f t="shared" si="54"/>
        <v>OK</v>
      </c>
      <c r="K470" s="11" t="str">
        <f t="shared" si="55"/>
        <v>OK</v>
      </c>
      <c r="R470" t="str">
        <f t="shared" si="50"/>
        <v>Keep</v>
      </c>
    </row>
    <row r="471" spans="1:18" ht="15">
      <c r="A471" s="23" t="s">
        <v>481</v>
      </c>
      <c r="B471" s="24" t="s">
        <v>11</v>
      </c>
      <c r="C471" s="24" t="s">
        <v>172</v>
      </c>
      <c r="D471" s="7">
        <v>44248</v>
      </c>
      <c r="E471" s="24" t="s">
        <v>12</v>
      </c>
      <c r="F471" s="11" t="str">
        <f t="shared" si="51"/>
        <v>OK</v>
      </c>
      <c r="G471" s="11" t="str">
        <f>IF(COUNTIFS($A:$A,A471,$E:E,E471)&gt;1,"NOK","OK")</f>
        <v>OK</v>
      </c>
      <c r="H471" s="11" t="str">
        <f t="shared" si="52"/>
        <v>OK</v>
      </c>
      <c r="I471" s="11" t="str">
        <f t="shared" si="53"/>
        <v>OK</v>
      </c>
      <c r="J471" s="11" t="str">
        <f t="shared" si="54"/>
        <v>OK</v>
      </c>
      <c r="K471" s="11" t="str">
        <f t="shared" si="55"/>
        <v>OK</v>
      </c>
      <c r="R471" t="str">
        <f t="shared" si="50"/>
        <v>Keep</v>
      </c>
    </row>
    <row r="472" spans="1:18" ht="15">
      <c r="A472" s="23" t="s">
        <v>482</v>
      </c>
      <c r="B472" s="24" t="s">
        <v>11</v>
      </c>
      <c r="C472" s="24" t="s">
        <v>172</v>
      </c>
      <c r="D472" s="7">
        <v>71478</v>
      </c>
      <c r="E472" s="24" t="s">
        <v>12</v>
      </c>
      <c r="F472" s="11" t="str">
        <f t="shared" si="51"/>
        <v>OK</v>
      </c>
      <c r="G472" s="11" t="str">
        <f>IF(COUNTIFS($A:$A,A472,$E:E,E472)&gt;1,"NOK","OK")</f>
        <v>OK</v>
      </c>
      <c r="H472" s="11" t="str">
        <f t="shared" si="52"/>
        <v>OK</v>
      </c>
      <c r="I472" s="11" t="str">
        <f t="shared" si="53"/>
        <v>OK</v>
      </c>
      <c r="J472" s="11" t="str">
        <f t="shared" si="54"/>
        <v>OK</v>
      </c>
      <c r="K472" s="11" t="str">
        <f t="shared" si="55"/>
        <v>OK</v>
      </c>
      <c r="R472" t="str">
        <f t="shared" si="50"/>
        <v>Keep</v>
      </c>
    </row>
    <row r="473" spans="1:18" ht="15">
      <c r="A473" s="23" t="s">
        <v>483</v>
      </c>
      <c r="B473" s="24" t="s">
        <v>7</v>
      </c>
      <c r="C473" s="24" t="s">
        <v>172</v>
      </c>
      <c r="D473" s="7">
        <v>138879</v>
      </c>
      <c r="E473" s="24" t="s">
        <v>16</v>
      </c>
      <c r="F473" s="11" t="str">
        <f t="shared" si="51"/>
        <v>OK</v>
      </c>
      <c r="G473" s="11" t="str">
        <f>IF(COUNTIFS($A:$A,A473,$E:E,E473)&gt;1,"NOK","OK")</f>
        <v>OK</v>
      </c>
      <c r="H473" s="11" t="str">
        <f t="shared" si="52"/>
        <v>OK</v>
      </c>
      <c r="I473" s="11" t="str">
        <f t="shared" si="53"/>
        <v>OK</v>
      </c>
      <c r="J473" s="11" t="str">
        <f t="shared" si="54"/>
        <v>OK</v>
      </c>
      <c r="K473" s="11" t="str">
        <f t="shared" si="55"/>
        <v>OK</v>
      </c>
      <c r="R473" t="str">
        <f t="shared" si="50"/>
        <v>Keep</v>
      </c>
    </row>
    <row r="474" spans="1:18" ht="15">
      <c r="A474" s="23" t="s">
        <v>484</v>
      </c>
      <c r="B474" s="24" t="s">
        <v>7</v>
      </c>
      <c r="C474" s="24" t="s">
        <v>172</v>
      </c>
      <c r="D474" s="7">
        <v>220366</v>
      </c>
      <c r="E474" s="24" t="s">
        <v>12</v>
      </c>
      <c r="F474" s="11" t="str">
        <f t="shared" si="51"/>
        <v>OK</v>
      </c>
      <c r="G474" s="11" t="str">
        <f>IF(COUNTIFS($A:$A,A474,$E:E,E474)&gt;1,"NOK","OK")</f>
        <v>OK</v>
      </c>
      <c r="H474" s="11" t="str">
        <f t="shared" si="52"/>
        <v>OK</v>
      </c>
      <c r="I474" s="11" t="str">
        <f t="shared" si="53"/>
        <v>OK</v>
      </c>
      <c r="J474" s="11" t="str">
        <f t="shared" si="54"/>
        <v>OK</v>
      </c>
      <c r="K474" s="11" t="str">
        <f t="shared" si="55"/>
        <v>OK</v>
      </c>
      <c r="R474" t="str">
        <f t="shared" si="50"/>
        <v>Keep</v>
      </c>
    </row>
    <row r="475" spans="1:18" ht="15">
      <c r="A475" s="23" t="s">
        <v>485</v>
      </c>
      <c r="B475" s="24" t="s">
        <v>11</v>
      </c>
      <c r="C475" s="24" t="s">
        <v>172</v>
      </c>
      <c r="D475" s="7">
        <v>269517</v>
      </c>
      <c r="E475" s="24" t="s">
        <v>16</v>
      </c>
      <c r="F475" s="11" t="str">
        <f t="shared" si="51"/>
        <v>OK</v>
      </c>
      <c r="G475" s="11" t="str">
        <f>IF(COUNTIFS($A:$A,A475,$E:E,E475)&gt;1,"NOK","OK")</f>
        <v>OK</v>
      </c>
      <c r="H475" s="11" t="str">
        <f t="shared" si="52"/>
        <v>OK</v>
      </c>
      <c r="I475" s="11" t="str">
        <f t="shared" si="53"/>
        <v>OK</v>
      </c>
      <c r="J475" s="11" t="str">
        <f t="shared" si="54"/>
        <v>OK</v>
      </c>
      <c r="K475" s="11" t="str">
        <f t="shared" si="55"/>
        <v>OK</v>
      </c>
      <c r="R475" t="str">
        <f t="shared" si="50"/>
        <v>Keep</v>
      </c>
    </row>
    <row r="476" spans="1:18" ht="15">
      <c r="A476" s="23" t="s">
        <v>486</v>
      </c>
      <c r="B476" s="24" t="s">
        <v>7</v>
      </c>
      <c r="C476" s="24" t="s">
        <v>172</v>
      </c>
      <c r="D476" s="7">
        <v>131252</v>
      </c>
      <c r="E476" s="24" t="s">
        <v>16</v>
      </c>
      <c r="F476" s="11" t="str">
        <f t="shared" si="51"/>
        <v>OK</v>
      </c>
      <c r="G476" s="11" t="str">
        <f>IF(COUNTIFS($A:$A,A476,$E:E,E476)&gt;1,"NOK","OK")</f>
        <v>OK</v>
      </c>
      <c r="H476" s="11" t="str">
        <f t="shared" si="52"/>
        <v>OK</v>
      </c>
      <c r="I476" s="11" t="str">
        <f t="shared" si="53"/>
        <v>OK</v>
      </c>
      <c r="J476" s="11" t="str">
        <f t="shared" si="54"/>
        <v>OK</v>
      </c>
      <c r="K476" s="11" t="str">
        <f t="shared" si="55"/>
        <v>OK</v>
      </c>
      <c r="R476" t="str">
        <f t="shared" si="50"/>
        <v>Keep</v>
      </c>
    </row>
    <row r="477" spans="1:18" ht="15">
      <c r="A477" s="23" t="s">
        <v>487</v>
      </c>
      <c r="B477" s="24" t="s">
        <v>7</v>
      </c>
      <c r="C477" s="24" t="s">
        <v>172</v>
      </c>
      <c r="D477" s="7">
        <v>269884</v>
      </c>
      <c r="E477" s="24" t="s">
        <v>16</v>
      </c>
      <c r="F477" s="11" t="str">
        <f t="shared" si="51"/>
        <v>OK</v>
      </c>
      <c r="G477" s="11" t="str">
        <f>IF(COUNTIFS($A:$A,A477,$E:E,E477)&gt;1,"NOK","OK")</f>
        <v>OK</v>
      </c>
      <c r="H477" s="11" t="str">
        <f t="shared" si="52"/>
        <v>OK</v>
      </c>
      <c r="I477" s="11" t="str">
        <f t="shared" si="53"/>
        <v>OK</v>
      </c>
      <c r="J477" s="11" t="str">
        <f t="shared" si="54"/>
        <v>OK</v>
      </c>
      <c r="K477" s="11" t="str">
        <f t="shared" si="55"/>
        <v>OK</v>
      </c>
      <c r="R477" t="str">
        <f t="shared" si="50"/>
        <v>Keep</v>
      </c>
    </row>
    <row r="478" spans="1:18" ht="15">
      <c r="A478" s="23" t="s">
        <v>488</v>
      </c>
      <c r="B478" s="24" t="s">
        <v>7</v>
      </c>
      <c r="C478" s="24" t="s">
        <v>172</v>
      </c>
      <c r="D478" s="7">
        <v>64165</v>
      </c>
      <c r="E478" s="24" t="s">
        <v>16</v>
      </c>
      <c r="F478" s="11" t="str">
        <f t="shared" si="51"/>
        <v>OK</v>
      </c>
      <c r="G478" s="11" t="str">
        <f>IF(COUNTIFS($A:$A,A478,$E:E,E478)&gt;1,"NOK","OK")</f>
        <v>OK</v>
      </c>
      <c r="H478" s="11" t="str">
        <f t="shared" si="52"/>
        <v>OK</v>
      </c>
      <c r="I478" s="11" t="str">
        <f t="shared" si="53"/>
        <v>OK</v>
      </c>
      <c r="J478" s="11" t="str">
        <f t="shared" si="54"/>
        <v>OK</v>
      </c>
      <c r="K478" s="11" t="str">
        <f t="shared" si="55"/>
        <v>OK</v>
      </c>
      <c r="R478" t="str">
        <f t="shared" si="50"/>
        <v>Keep</v>
      </c>
    </row>
    <row r="479" spans="1:18" ht="15">
      <c r="A479" s="23" t="s">
        <v>489</v>
      </c>
      <c r="B479" s="24" t="s">
        <v>7</v>
      </c>
      <c r="C479" s="24" t="s">
        <v>172</v>
      </c>
      <c r="D479" s="7">
        <v>77862</v>
      </c>
      <c r="E479" s="24" t="s">
        <v>9</v>
      </c>
      <c r="F479" s="11" t="str">
        <f t="shared" si="51"/>
        <v>OK</v>
      </c>
      <c r="G479" s="11" t="str">
        <f>IF(COUNTIFS($A:$A,A479,$E:E,E479)&gt;1,"NOK","OK")</f>
        <v>OK</v>
      </c>
      <c r="H479" s="11" t="str">
        <f t="shared" si="52"/>
        <v>OK</v>
      </c>
      <c r="I479" s="11" t="str">
        <f t="shared" si="53"/>
        <v>OK</v>
      </c>
      <c r="J479" s="11" t="str">
        <f t="shared" si="54"/>
        <v>OK</v>
      </c>
      <c r="K479" s="11" t="str">
        <f t="shared" si="55"/>
        <v>OK</v>
      </c>
      <c r="R479" t="str">
        <f t="shared" si="50"/>
        <v>Keep</v>
      </c>
    </row>
    <row r="480" spans="1:18" ht="15">
      <c r="A480" s="23" t="s">
        <v>490</v>
      </c>
      <c r="B480" s="24" t="s">
        <v>11</v>
      </c>
      <c r="C480" s="24" t="s">
        <v>172</v>
      </c>
      <c r="D480" s="7">
        <v>119367</v>
      </c>
      <c r="E480" s="24" t="s">
        <v>16</v>
      </c>
      <c r="F480" s="11" t="str">
        <f t="shared" si="51"/>
        <v>OK</v>
      </c>
      <c r="G480" s="11" t="str">
        <f>IF(COUNTIFS($A:$A,A480,$E:E,E480)&gt;1,"NOK","OK")</f>
        <v>OK</v>
      </c>
      <c r="H480" s="11" t="str">
        <f t="shared" si="52"/>
        <v>OK</v>
      </c>
      <c r="I480" s="11" t="str">
        <f t="shared" si="53"/>
        <v>OK</v>
      </c>
      <c r="J480" s="11" t="str">
        <f t="shared" si="54"/>
        <v>OK</v>
      </c>
      <c r="K480" s="11" t="str">
        <f t="shared" si="55"/>
        <v>OK</v>
      </c>
      <c r="R480" t="str">
        <f t="shared" si="50"/>
        <v>Keep</v>
      </c>
    </row>
    <row r="481" spans="1:18" ht="15">
      <c r="A481" s="23" t="s">
        <v>491</v>
      </c>
      <c r="B481" s="24" t="s">
        <v>7</v>
      </c>
      <c r="C481" s="24" t="s">
        <v>172</v>
      </c>
      <c r="D481" s="7">
        <v>24108</v>
      </c>
      <c r="E481" s="24" t="s">
        <v>9</v>
      </c>
      <c r="F481" s="11" t="str">
        <f t="shared" si="51"/>
        <v>OK</v>
      </c>
      <c r="G481" s="11" t="str">
        <f>IF(COUNTIFS($A:$A,A481,$E:E,E481)&gt;1,"NOK","OK")</f>
        <v>OK</v>
      </c>
      <c r="H481" s="11" t="str">
        <f t="shared" si="52"/>
        <v>OK</v>
      </c>
      <c r="I481" s="11" t="str">
        <f t="shared" si="53"/>
        <v>OK</v>
      </c>
      <c r="J481" s="11" t="str">
        <f t="shared" si="54"/>
        <v>OK</v>
      </c>
      <c r="K481" s="11" t="str">
        <f t="shared" si="55"/>
        <v>OK</v>
      </c>
      <c r="R481" t="str">
        <f t="shared" si="50"/>
        <v>Keep</v>
      </c>
    </row>
    <row r="482" spans="1:18" ht="15">
      <c r="A482" s="23" t="s">
        <v>492</v>
      </c>
      <c r="B482" s="24" t="s">
        <v>7</v>
      </c>
      <c r="C482" s="24" t="s">
        <v>172</v>
      </c>
      <c r="D482" s="7">
        <v>65667</v>
      </c>
      <c r="E482" s="24" t="s">
        <v>16</v>
      </c>
      <c r="F482" s="11" t="str">
        <f t="shared" si="51"/>
        <v>OK</v>
      </c>
      <c r="G482" s="11" t="str">
        <f>IF(COUNTIFS($A:$A,A482,$E:E,E482)&gt;1,"NOK","OK")</f>
        <v>OK</v>
      </c>
      <c r="H482" s="11" t="str">
        <f t="shared" si="52"/>
        <v>OK</v>
      </c>
      <c r="I482" s="11" t="str">
        <f t="shared" si="53"/>
        <v>OK</v>
      </c>
      <c r="J482" s="11" t="str">
        <f t="shared" si="54"/>
        <v>OK</v>
      </c>
      <c r="K482" s="11" t="str">
        <f t="shared" si="55"/>
        <v>OK</v>
      </c>
      <c r="R482" t="str">
        <f t="shared" si="50"/>
        <v>Keep</v>
      </c>
    </row>
    <row r="483" spans="1:18" ht="15">
      <c r="A483" s="23" t="s">
        <v>493</v>
      </c>
      <c r="B483" s="24" t="s">
        <v>7</v>
      </c>
      <c r="C483" s="24" t="s">
        <v>172</v>
      </c>
      <c r="D483" s="7">
        <v>148590</v>
      </c>
      <c r="E483" s="24" t="s">
        <v>12</v>
      </c>
      <c r="F483" s="11" t="str">
        <f t="shared" si="51"/>
        <v>OK</v>
      </c>
      <c r="G483" s="11" t="str">
        <f>IF(COUNTIFS($A:$A,A483,$E:E,E483)&gt;1,"NOK","OK")</f>
        <v>OK</v>
      </c>
      <c r="H483" s="11" t="str">
        <f t="shared" si="52"/>
        <v>OK</v>
      </c>
      <c r="I483" s="11" t="str">
        <f t="shared" si="53"/>
        <v>OK</v>
      </c>
      <c r="J483" s="11" t="str">
        <f t="shared" si="54"/>
        <v>OK</v>
      </c>
      <c r="K483" s="11" t="str">
        <f t="shared" si="55"/>
        <v>OK</v>
      </c>
      <c r="R483" t="str">
        <f t="shared" si="50"/>
        <v>Keep</v>
      </c>
    </row>
    <row r="484" spans="1:18" ht="15">
      <c r="A484" s="23" t="s">
        <v>494</v>
      </c>
      <c r="B484" s="24" t="s">
        <v>7</v>
      </c>
      <c r="C484" s="24" t="s">
        <v>172</v>
      </c>
      <c r="D484" s="7">
        <v>120692</v>
      </c>
      <c r="E484" s="24" t="s">
        <v>9</v>
      </c>
      <c r="F484" s="11" t="str">
        <f t="shared" si="51"/>
        <v>OK</v>
      </c>
      <c r="G484" s="11" t="str">
        <f>IF(COUNTIFS($A:$A,A484,$E:E,E484)&gt;1,"NOK","OK")</f>
        <v>OK</v>
      </c>
      <c r="H484" s="11" t="str">
        <f t="shared" si="52"/>
        <v>OK</v>
      </c>
      <c r="I484" s="11" t="str">
        <f t="shared" si="53"/>
        <v>OK</v>
      </c>
      <c r="J484" s="11" t="str">
        <f t="shared" si="54"/>
        <v>OK</v>
      </c>
      <c r="K484" s="11" t="str">
        <f t="shared" si="55"/>
        <v>OK</v>
      </c>
      <c r="R484" t="str">
        <f t="shared" si="50"/>
        <v>Keep</v>
      </c>
    </row>
    <row r="485" spans="1:18" ht="15">
      <c r="A485" s="23" t="s">
        <v>495</v>
      </c>
      <c r="B485" s="24" t="s">
        <v>11</v>
      </c>
      <c r="C485" s="24" t="s">
        <v>172</v>
      </c>
      <c r="D485" s="7">
        <v>36964</v>
      </c>
      <c r="E485" s="24" t="s">
        <v>12</v>
      </c>
      <c r="F485" s="11" t="str">
        <f t="shared" si="51"/>
        <v>OK</v>
      </c>
      <c r="G485" s="11" t="str">
        <f>IF(COUNTIFS($A:$A,A485,$E:E,E485)&gt;1,"NOK","OK")</f>
        <v>OK</v>
      </c>
      <c r="H485" s="11" t="str">
        <f t="shared" si="52"/>
        <v>OK</v>
      </c>
      <c r="I485" s="11" t="str">
        <f t="shared" si="53"/>
        <v>OK</v>
      </c>
      <c r="J485" s="11" t="str">
        <f t="shared" si="54"/>
        <v>OK</v>
      </c>
      <c r="K485" s="11" t="str">
        <f t="shared" si="55"/>
        <v>OK</v>
      </c>
      <c r="R485" t="str">
        <f t="shared" si="50"/>
        <v>Keep</v>
      </c>
    </row>
    <row r="486" spans="1:18" ht="15">
      <c r="A486" s="23" t="s">
        <v>496</v>
      </c>
      <c r="B486" s="24" t="s">
        <v>11</v>
      </c>
      <c r="C486" s="24" t="s">
        <v>172</v>
      </c>
      <c r="D486" s="7">
        <v>199065</v>
      </c>
      <c r="E486" s="24" t="s">
        <v>12</v>
      </c>
      <c r="F486" s="11" t="str">
        <f t="shared" si="51"/>
        <v>OK</v>
      </c>
      <c r="G486" s="11" t="str">
        <f>IF(COUNTIFS($A:$A,A486,$E:E,E486)&gt;1,"NOK","OK")</f>
        <v>OK</v>
      </c>
      <c r="H486" s="11" t="str">
        <f t="shared" si="52"/>
        <v>OK</v>
      </c>
      <c r="I486" s="11" t="str">
        <f t="shared" si="53"/>
        <v>OK</v>
      </c>
      <c r="J486" s="11" t="str">
        <f t="shared" si="54"/>
        <v>OK</v>
      </c>
      <c r="K486" s="11" t="str">
        <f t="shared" si="55"/>
        <v>OK</v>
      </c>
      <c r="R486" t="str">
        <f t="shared" si="50"/>
        <v>Keep</v>
      </c>
    </row>
    <row r="487" spans="1:18" ht="15">
      <c r="A487" s="23" t="s">
        <v>497</v>
      </c>
      <c r="B487" s="24" t="s">
        <v>7</v>
      </c>
      <c r="C487" s="24" t="s">
        <v>172</v>
      </c>
      <c r="D487" s="7">
        <v>57409</v>
      </c>
      <c r="E487" s="24" t="s">
        <v>9</v>
      </c>
      <c r="F487" s="11" t="str">
        <f t="shared" si="51"/>
        <v>OK</v>
      </c>
      <c r="G487" s="11" t="str">
        <f>IF(COUNTIFS($A:$A,A487,$E:E,E487)&gt;1,"NOK","OK")</f>
        <v>OK</v>
      </c>
      <c r="H487" s="11" t="str">
        <f t="shared" si="52"/>
        <v>OK</v>
      </c>
      <c r="I487" s="11" t="str">
        <f t="shared" si="53"/>
        <v>OK</v>
      </c>
      <c r="J487" s="11" t="str">
        <f t="shared" si="54"/>
        <v>OK</v>
      </c>
      <c r="K487" s="11" t="str">
        <f t="shared" si="55"/>
        <v>OK</v>
      </c>
      <c r="R487" t="str">
        <f t="shared" si="50"/>
        <v>Keep</v>
      </c>
    </row>
    <row r="488" spans="1:18" ht="15">
      <c r="A488" s="23" t="s">
        <v>498</v>
      </c>
      <c r="B488" s="24" t="s">
        <v>11</v>
      </c>
      <c r="C488" s="24" t="s">
        <v>172</v>
      </c>
      <c r="D488" s="7">
        <v>102781</v>
      </c>
      <c r="E488" s="24" t="s">
        <v>16</v>
      </c>
      <c r="F488" s="11" t="str">
        <f t="shared" si="51"/>
        <v>OK</v>
      </c>
      <c r="G488" s="11" t="str">
        <f>IF(COUNTIFS($A:$A,A488,$E:E,E488)&gt;1,"NOK","OK")</f>
        <v>OK</v>
      </c>
      <c r="H488" s="11" t="str">
        <f t="shared" si="52"/>
        <v>OK</v>
      </c>
      <c r="I488" s="11" t="str">
        <f t="shared" si="53"/>
        <v>OK</v>
      </c>
      <c r="J488" s="11" t="str">
        <f t="shared" si="54"/>
        <v>OK</v>
      </c>
      <c r="K488" s="11" t="str">
        <f t="shared" si="55"/>
        <v>OK</v>
      </c>
      <c r="R488" t="str">
        <f t="shared" si="50"/>
        <v>Keep</v>
      </c>
    </row>
    <row r="489" spans="1:18" ht="15">
      <c r="A489" s="23" t="s">
        <v>499</v>
      </c>
      <c r="B489" s="24" t="s">
        <v>7</v>
      </c>
      <c r="C489" s="24" t="s">
        <v>172</v>
      </c>
      <c r="D489" s="7">
        <v>222272</v>
      </c>
      <c r="E489" s="24" t="s">
        <v>12</v>
      </c>
      <c r="F489" s="11" t="str">
        <f t="shared" si="51"/>
        <v>OK</v>
      </c>
      <c r="G489" s="11" t="str">
        <f>IF(COUNTIFS($A:$A,A489,$E:E,E489)&gt;1,"NOK","OK")</f>
        <v>OK</v>
      </c>
      <c r="H489" s="11" t="str">
        <f t="shared" si="52"/>
        <v>OK</v>
      </c>
      <c r="I489" s="11" t="str">
        <f t="shared" si="53"/>
        <v>OK</v>
      </c>
      <c r="J489" s="11" t="str">
        <f t="shared" si="54"/>
        <v>OK</v>
      </c>
      <c r="K489" s="11" t="str">
        <f t="shared" si="55"/>
        <v>OK</v>
      </c>
      <c r="R489" t="str">
        <f t="shared" si="50"/>
        <v>Keep</v>
      </c>
    </row>
    <row r="490" spans="1:18" ht="15">
      <c r="A490" s="23" t="s">
        <v>500</v>
      </c>
      <c r="B490" s="24" t="s">
        <v>7</v>
      </c>
      <c r="C490" s="24" t="s">
        <v>172</v>
      </c>
      <c r="D490" s="7">
        <v>153339</v>
      </c>
      <c r="E490" s="24" t="s">
        <v>16</v>
      </c>
      <c r="F490" s="11" t="str">
        <f t="shared" si="51"/>
        <v>OK</v>
      </c>
      <c r="G490" s="11" t="str">
        <f>IF(COUNTIFS($A:$A,A490,$E:E,E490)&gt;1,"NOK","OK")</f>
        <v>OK</v>
      </c>
      <c r="H490" s="11" t="str">
        <f t="shared" si="52"/>
        <v>OK</v>
      </c>
      <c r="I490" s="11" t="str">
        <f t="shared" si="53"/>
        <v>OK</v>
      </c>
      <c r="J490" s="11" t="str">
        <f t="shared" si="54"/>
        <v>OK</v>
      </c>
      <c r="K490" s="11" t="str">
        <f t="shared" si="55"/>
        <v>OK</v>
      </c>
      <c r="R490" t="str">
        <f t="shared" si="50"/>
        <v>Keep</v>
      </c>
    </row>
    <row r="491" spans="1:18" ht="15">
      <c r="A491" s="23" t="s">
        <v>501</v>
      </c>
      <c r="B491" s="24" t="s">
        <v>7</v>
      </c>
      <c r="C491" s="24" t="s">
        <v>172</v>
      </c>
      <c r="D491" s="7">
        <v>230466</v>
      </c>
      <c r="E491" s="24" t="s">
        <v>16</v>
      </c>
      <c r="F491" s="11" t="str">
        <f t="shared" si="51"/>
        <v>OK</v>
      </c>
      <c r="G491" s="11" t="str">
        <f>IF(COUNTIFS($A:$A,A491,$E:E,E491)&gt;1,"NOK","OK")</f>
        <v>OK</v>
      </c>
      <c r="H491" s="11" t="str">
        <f t="shared" si="52"/>
        <v>OK</v>
      </c>
      <c r="I491" s="11" t="str">
        <f t="shared" si="53"/>
        <v>OK</v>
      </c>
      <c r="J491" s="11" t="str">
        <f t="shared" si="54"/>
        <v>OK</v>
      </c>
      <c r="K491" s="11" t="str">
        <f t="shared" si="55"/>
        <v>OK</v>
      </c>
      <c r="R491" t="str">
        <f t="shared" si="50"/>
        <v>Keep</v>
      </c>
    </row>
    <row r="492" spans="1:18" ht="15">
      <c r="A492" s="23" t="s">
        <v>502</v>
      </c>
      <c r="B492" s="24" t="s">
        <v>7</v>
      </c>
      <c r="C492" s="24" t="s">
        <v>172</v>
      </c>
      <c r="D492" s="7">
        <v>142432</v>
      </c>
      <c r="E492" s="24" t="s">
        <v>16</v>
      </c>
      <c r="F492" s="11" t="str">
        <f t="shared" si="51"/>
        <v>OK</v>
      </c>
      <c r="G492" s="11" t="str">
        <f>IF(COUNTIFS($A:$A,A492,$E:E,E492)&gt;1,"NOK","OK")</f>
        <v>OK</v>
      </c>
      <c r="H492" s="11" t="str">
        <f t="shared" si="52"/>
        <v>OK</v>
      </c>
      <c r="I492" s="11" t="str">
        <f t="shared" si="53"/>
        <v>OK</v>
      </c>
      <c r="J492" s="11" t="str">
        <f t="shared" si="54"/>
        <v>OK</v>
      </c>
      <c r="K492" s="11" t="str">
        <f t="shared" si="55"/>
        <v>OK</v>
      </c>
      <c r="R492" t="str">
        <f t="shared" si="50"/>
        <v>Keep</v>
      </c>
    </row>
    <row r="493" spans="1:18" ht="15">
      <c r="A493" s="23" t="s">
        <v>503</v>
      </c>
      <c r="B493" s="24" t="s">
        <v>7</v>
      </c>
      <c r="C493" s="24" t="s">
        <v>172</v>
      </c>
      <c r="D493" s="7">
        <v>247012</v>
      </c>
      <c r="E493" s="24" t="s">
        <v>9</v>
      </c>
      <c r="F493" s="11" t="str">
        <f t="shared" si="51"/>
        <v>OK</v>
      </c>
      <c r="G493" s="11" t="str">
        <f>IF(COUNTIFS($A:$A,A493,$E:E,E493)&gt;1,"NOK","OK")</f>
        <v>OK</v>
      </c>
      <c r="H493" s="11" t="str">
        <f t="shared" si="52"/>
        <v>OK</v>
      </c>
      <c r="I493" s="11" t="str">
        <f t="shared" si="53"/>
        <v>OK</v>
      </c>
      <c r="J493" s="11" t="str">
        <f t="shared" si="54"/>
        <v>OK</v>
      </c>
      <c r="K493" s="11" t="str">
        <f t="shared" si="55"/>
        <v>OK</v>
      </c>
      <c r="R493" t="str">
        <f t="shared" si="50"/>
        <v>Keep</v>
      </c>
    </row>
    <row r="494" spans="1:18" ht="15">
      <c r="A494" s="23" t="s">
        <v>504</v>
      </c>
      <c r="B494" s="24" t="s">
        <v>7</v>
      </c>
      <c r="C494" s="24" t="s">
        <v>172</v>
      </c>
      <c r="D494" s="7">
        <v>178268</v>
      </c>
      <c r="E494" s="24" t="s">
        <v>9</v>
      </c>
      <c r="F494" s="11" t="str">
        <f t="shared" si="51"/>
        <v>OK</v>
      </c>
      <c r="G494" s="11" t="str">
        <f>IF(COUNTIFS($A:$A,A494,$E:E,E494)&gt;1,"NOK","OK")</f>
        <v>OK</v>
      </c>
      <c r="H494" s="11" t="str">
        <f t="shared" si="52"/>
        <v>OK</v>
      </c>
      <c r="I494" s="11" t="str">
        <f t="shared" si="53"/>
        <v>OK</v>
      </c>
      <c r="J494" s="11" t="str">
        <f t="shared" si="54"/>
        <v>OK</v>
      </c>
      <c r="K494" s="11" t="str">
        <f t="shared" si="55"/>
        <v>OK</v>
      </c>
      <c r="R494" t="str">
        <f t="shared" si="50"/>
        <v>Keep</v>
      </c>
    </row>
    <row r="495" spans="1:18" ht="15">
      <c r="A495" s="23" t="s">
        <v>505</v>
      </c>
      <c r="B495" s="24" t="s">
        <v>7</v>
      </c>
      <c r="C495" s="24" t="s">
        <v>172</v>
      </c>
      <c r="D495" s="7">
        <v>250158</v>
      </c>
      <c r="E495" s="24" t="s">
        <v>16</v>
      </c>
      <c r="F495" s="11" t="str">
        <f t="shared" si="51"/>
        <v>OK</v>
      </c>
      <c r="G495" s="11" t="str">
        <f>IF(COUNTIFS($A:$A,A495,$E:E,E495)&gt;1,"NOK","OK")</f>
        <v>OK</v>
      </c>
      <c r="H495" s="11" t="str">
        <f t="shared" si="52"/>
        <v>OK</v>
      </c>
      <c r="I495" s="11" t="str">
        <f t="shared" si="53"/>
        <v>OK</v>
      </c>
      <c r="J495" s="11" t="str">
        <f t="shared" si="54"/>
        <v>OK</v>
      </c>
      <c r="K495" s="11" t="str">
        <f t="shared" si="55"/>
        <v>OK</v>
      </c>
      <c r="R495" t="str">
        <f t="shared" si="50"/>
        <v>Keep</v>
      </c>
    </row>
    <row r="496" spans="1:18" ht="15">
      <c r="A496" s="23" t="s">
        <v>506</v>
      </c>
      <c r="B496" s="24" t="s">
        <v>7</v>
      </c>
      <c r="C496" s="24" t="s">
        <v>172</v>
      </c>
      <c r="D496" s="7">
        <v>259767</v>
      </c>
      <c r="E496" s="24" t="s">
        <v>12</v>
      </c>
      <c r="F496" s="11" t="str">
        <f t="shared" si="51"/>
        <v>OK</v>
      </c>
      <c r="G496" s="11" t="str">
        <f>IF(COUNTIFS($A:$A,A496,$E:E,E496)&gt;1,"NOK","OK")</f>
        <v>OK</v>
      </c>
      <c r="H496" s="11" t="str">
        <f t="shared" si="52"/>
        <v>OK</v>
      </c>
      <c r="I496" s="11" t="str">
        <f t="shared" si="53"/>
        <v>OK</v>
      </c>
      <c r="J496" s="11" t="str">
        <f t="shared" si="54"/>
        <v>OK</v>
      </c>
      <c r="K496" s="11" t="str">
        <f t="shared" si="55"/>
        <v>OK</v>
      </c>
      <c r="R496" t="str">
        <f t="shared" si="50"/>
        <v>Keep</v>
      </c>
    </row>
    <row r="497" spans="1:18" ht="15">
      <c r="A497" s="23" t="s">
        <v>507</v>
      </c>
      <c r="B497" s="24" t="s">
        <v>7</v>
      </c>
      <c r="C497" s="24" t="s">
        <v>172</v>
      </c>
      <c r="D497" s="7">
        <v>127074</v>
      </c>
      <c r="E497" s="24" t="s">
        <v>16</v>
      </c>
      <c r="F497" s="11" t="str">
        <f t="shared" si="51"/>
        <v>OK</v>
      </c>
      <c r="G497" s="11" t="str">
        <f>IF(COUNTIFS($A:$A,A497,$E:E,E497)&gt;1,"NOK","OK")</f>
        <v>OK</v>
      </c>
      <c r="H497" s="11" t="str">
        <f t="shared" si="52"/>
        <v>OK</v>
      </c>
      <c r="I497" s="11" t="str">
        <f t="shared" si="53"/>
        <v>OK</v>
      </c>
      <c r="J497" s="11" t="str">
        <f t="shared" si="54"/>
        <v>OK</v>
      </c>
      <c r="K497" s="11" t="str">
        <f t="shared" si="55"/>
        <v>OK</v>
      </c>
      <c r="R497" t="str">
        <f t="shared" si="50"/>
        <v>Keep</v>
      </c>
    </row>
    <row r="498" spans="1:18" ht="15">
      <c r="A498" s="23" t="s">
        <v>508</v>
      </c>
      <c r="B498" s="24" t="s">
        <v>7</v>
      </c>
      <c r="C498" s="24" t="s">
        <v>172</v>
      </c>
      <c r="D498" s="7">
        <v>88845</v>
      </c>
      <c r="E498" s="24" t="s">
        <v>12</v>
      </c>
      <c r="F498" s="11" t="str">
        <f t="shared" si="51"/>
        <v>OK</v>
      </c>
      <c r="G498" s="11" t="str">
        <f>IF(COUNTIFS($A:$A,A498,$E:E,E498)&gt;1,"NOK","OK")</f>
        <v>OK</v>
      </c>
      <c r="H498" s="11" t="str">
        <f t="shared" si="52"/>
        <v>OK</v>
      </c>
      <c r="I498" s="11" t="str">
        <f t="shared" si="53"/>
        <v>OK</v>
      </c>
      <c r="J498" s="11" t="str">
        <f t="shared" si="54"/>
        <v>OK</v>
      </c>
      <c r="K498" s="11" t="str">
        <f t="shared" si="55"/>
        <v>OK</v>
      </c>
      <c r="R498" t="str">
        <f t="shared" si="50"/>
        <v>Keep</v>
      </c>
    </row>
    <row r="499" spans="1:18" ht="15">
      <c r="A499" s="23" t="s">
        <v>509</v>
      </c>
      <c r="B499" s="24" t="s">
        <v>7</v>
      </c>
      <c r="C499" s="24" t="s">
        <v>172</v>
      </c>
      <c r="D499" s="7">
        <v>2704</v>
      </c>
      <c r="E499" s="24" t="s">
        <v>12</v>
      </c>
      <c r="F499" s="11" t="str">
        <f t="shared" si="51"/>
        <v>OK</v>
      </c>
      <c r="G499" s="11" t="str">
        <f>IF(COUNTIFS($A:$A,A499,$E:E,E499)&gt;1,"NOK","OK")</f>
        <v>OK</v>
      </c>
      <c r="H499" s="11" t="str">
        <f t="shared" si="52"/>
        <v>OK</v>
      </c>
      <c r="I499" s="11" t="str">
        <f t="shared" si="53"/>
        <v>OK</v>
      </c>
      <c r="J499" s="11" t="str">
        <f t="shared" si="54"/>
        <v>OK</v>
      </c>
      <c r="K499" s="11" t="str">
        <f t="shared" si="55"/>
        <v>OK</v>
      </c>
      <c r="R499" t="str">
        <f t="shared" si="50"/>
        <v>Keep</v>
      </c>
    </row>
    <row r="500" spans="1:18" ht="15">
      <c r="A500" s="23" t="s">
        <v>510</v>
      </c>
      <c r="B500" s="24" t="s">
        <v>11</v>
      </c>
      <c r="C500" s="24" t="s">
        <v>172</v>
      </c>
      <c r="D500" s="7">
        <v>10599</v>
      </c>
      <c r="E500" s="24" t="s">
        <v>9</v>
      </c>
      <c r="F500" s="11" t="str">
        <f t="shared" si="51"/>
        <v>OK</v>
      </c>
      <c r="G500" s="11" t="str">
        <f>IF(COUNTIFS($A:$A,A500,$E:E,E500)&gt;1,"NOK","OK")</f>
        <v>OK</v>
      </c>
      <c r="H500" s="11" t="str">
        <f t="shared" si="52"/>
        <v>OK</v>
      </c>
      <c r="I500" s="11" t="str">
        <f t="shared" si="53"/>
        <v>OK</v>
      </c>
      <c r="J500" s="11" t="str">
        <f t="shared" si="54"/>
        <v>OK</v>
      </c>
      <c r="K500" s="11" t="str">
        <f t="shared" si="55"/>
        <v>OK</v>
      </c>
      <c r="R500" t="str">
        <f t="shared" si="50"/>
        <v>Keep</v>
      </c>
    </row>
    <row r="501" spans="1:18" ht="15">
      <c r="A501" s="23" t="s">
        <v>511</v>
      </c>
      <c r="B501" s="24" t="s">
        <v>7</v>
      </c>
      <c r="C501" s="24" t="s">
        <v>172</v>
      </c>
      <c r="D501" s="7">
        <v>167908</v>
      </c>
      <c r="E501" s="24" t="s">
        <v>16</v>
      </c>
      <c r="F501" s="11" t="str">
        <f t="shared" si="51"/>
        <v>OK</v>
      </c>
      <c r="G501" s="11" t="str">
        <f>IF(COUNTIFS($A:$A,A501,$E:E,E501)&gt;1,"NOK","OK")</f>
        <v>OK</v>
      </c>
      <c r="H501" s="11" t="str">
        <f t="shared" si="52"/>
        <v>OK</v>
      </c>
      <c r="I501" s="11" t="str">
        <f t="shared" si="53"/>
        <v>OK</v>
      </c>
      <c r="J501" s="11" t="str">
        <f t="shared" si="54"/>
        <v>OK</v>
      </c>
      <c r="K501" s="11" t="str">
        <f t="shared" si="55"/>
        <v>OK</v>
      </c>
      <c r="R501" t="str">
        <f t="shared" si="50"/>
        <v>Keep</v>
      </c>
    </row>
    <row r="502" spans="1:18" ht="15">
      <c r="A502" s="23" t="s">
        <v>512</v>
      </c>
      <c r="B502" s="24" t="s">
        <v>7</v>
      </c>
      <c r="C502" s="24" t="s">
        <v>172</v>
      </c>
      <c r="D502" s="7">
        <v>217107</v>
      </c>
      <c r="E502" s="24" t="s">
        <v>9</v>
      </c>
      <c r="F502" s="11" t="str">
        <f t="shared" si="51"/>
        <v>OK</v>
      </c>
      <c r="G502" s="11" t="str">
        <f>IF(COUNTIFS($A:$A,A502,$E:E,E502)&gt;1,"NOK","OK")</f>
        <v>OK</v>
      </c>
      <c r="H502" s="11" t="str">
        <f t="shared" si="52"/>
        <v>OK</v>
      </c>
      <c r="I502" s="11" t="str">
        <f t="shared" si="53"/>
        <v>OK</v>
      </c>
      <c r="J502" s="11" t="str">
        <f t="shared" si="54"/>
        <v>OK</v>
      </c>
      <c r="K502" s="11" t="str">
        <f t="shared" si="55"/>
        <v>OK</v>
      </c>
      <c r="R502" t="str">
        <f t="shared" si="50"/>
        <v>Keep</v>
      </c>
    </row>
    <row r="503" spans="1:18" ht="15">
      <c r="A503" s="23" t="s">
        <v>513</v>
      </c>
      <c r="B503" s="24" t="s">
        <v>11</v>
      </c>
      <c r="C503" s="24" t="s">
        <v>172</v>
      </c>
      <c r="D503" s="7">
        <v>80757</v>
      </c>
      <c r="E503" s="24" t="s">
        <v>16</v>
      </c>
      <c r="F503" s="11" t="str">
        <f t="shared" si="51"/>
        <v>OK</v>
      </c>
      <c r="G503" s="11" t="str">
        <f>IF(COUNTIFS($A:$A,A503,$E:E,E503)&gt;1,"NOK","OK")</f>
        <v>OK</v>
      </c>
      <c r="H503" s="11" t="str">
        <f t="shared" si="52"/>
        <v>OK</v>
      </c>
      <c r="I503" s="11" t="str">
        <f t="shared" si="53"/>
        <v>OK</v>
      </c>
      <c r="J503" s="11" t="str">
        <f t="shared" si="54"/>
        <v>OK</v>
      </c>
      <c r="K503" s="11" t="str">
        <f t="shared" si="55"/>
        <v>OK</v>
      </c>
      <c r="R503" t="str">
        <f t="shared" si="50"/>
        <v>Keep</v>
      </c>
    </row>
    <row r="504" spans="1:18" ht="15">
      <c r="A504" s="23" t="s">
        <v>514</v>
      </c>
      <c r="B504" s="24" t="s">
        <v>7</v>
      </c>
      <c r="C504" s="24" t="s">
        <v>172</v>
      </c>
      <c r="D504" s="7">
        <v>288554</v>
      </c>
      <c r="E504" s="24" t="s">
        <v>12</v>
      </c>
      <c r="F504" s="11" t="str">
        <f t="shared" si="51"/>
        <v>OK</v>
      </c>
      <c r="G504" s="11" t="str">
        <f>IF(COUNTIFS($A:$A,A504,$E:E,E504)&gt;1,"NOK","OK")</f>
        <v>OK</v>
      </c>
      <c r="H504" s="11" t="str">
        <f t="shared" si="52"/>
        <v>OK</v>
      </c>
      <c r="I504" s="11" t="str">
        <f t="shared" si="53"/>
        <v>OK</v>
      </c>
      <c r="J504" s="11" t="str">
        <f t="shared" si="54"/>
        <v>OK</v>
      </c>
      <c r="K504" s="11" t="str">
        <f t="shared" si="55"/>
        <v>OK</v>
      </c>
      <c r="R504" t="str">
        <f t="shared" ref="R504:R513" si="56">IF(COUNTIF(F504:K504, "NOK") &gt; 0, "Hide", "Keep")</f>
        <v>Keep</v>
      </c>
    </row>
    <row r="505" spans="1:18" ht="15">
      <c r="A505" s="23" t="s">
        <v>515</v>
      </c>
      <c r="B505" s="24" t="s">
        <v>7</v>
      </c>
      <c r="C505" s="24" t="s">
        <v>172</v>
      </c>
      <c r="D505" s="7">
        <v>295734</v>
      </c>
      <c r="E505" s="24" t="s">
        <v>12</v>
      </c>
      <c r="F505" s="11" t="str">
        <f t="shared" si="51"/>
        <v>OK</v>
      </c>
      <c r="G505" s="11" t="str">
        <f>IF(COUNTIFS($A:$A,A505,$E:E,E505)&gt;1,"NOK","OK")</f>
        <v>OK</v>
      </c>
      <c r="H505" s="11" t="str">
        <f t="shared" si="52"/>
        <v>OK</v>
      </c>
      <c r="I505" s="11" t="str">
        <f t="shared" si="53"/>
        <v>OK</v>
      </c>
      <c r="J505" s="11" t="str">
        <f t="shared" si="54"/>
        <v>OK</v>
      </c>
      <c r="K505" s="11" t="str">
        <f t="shared" si="55"/>
        <v>OK</v>
      </c>
      <c r="R505" t="str">
        <f t="shared" si="56"/>
        <v>Keep</v>
      </c>
    </row>
    <row r="506" spans="1:18" ht="15">
      <c r="A506" s="23" t="s">
        <v>516</v>
      </c>
      <c r="B506" s="24" t="s">
        <v>11</v>
      </c>
      <c r="C506" s="24" t="s">
        <v>172</v>
      </c>
      <c r="D506" s="7">
        <v>37003</v>
      </c>
      <c r="E506" s="24" t="s">
        <v>9</v>
      </c>
      <c r="F506" s="11" t="str">
        <f t="shared" si="51"/>
        <v>OK</v>
      </c>
      <c r="G506" s="11" t="str">
        <f>IF(COUNTIFS($A:$A,A506,$E:E,E506)&gt;1,"NOK","OK")</f>
        <v>OK</v>
      </c>
      <c r="H506" s="11" t="str">
        <f t="shared" si="52"/>
        <v>OK</v>
      </c>
      <c r="I506" s="11" t="str">
        <f t="shared" si="53"/>
        <v>OK</v>
      </c>
      <c r="J506" s="11" t="str">
        <f t="shared" si="54"/>
        <v>OK</v>
      </c>
      <c r="K506" s="11" t="str">
        <f t="shared" si="55"/>
        <v>OK</v>
      </c>
      <c r="R506" t="str">
        <f t="shared" si="56"/>
        <v>Keep</v>
      </c>
    </row>
    <row r="507" spans="1:18" ht="15">
      <c r="A507" s="23" t="s">
        <v>517</v>
      </c>
      <c r="B507" s="24" t="s">
        <v>7</v>
      </c>
      <c r="C507" s="24" t="s">
        <v>172</v>
      </c>
      <c r="D507" s="7">
        <v>49587</v>
      </c>
      <c r="E507" s="24" t="s">
        <v>12</v>
      </c>
      <c r="F507" s="11" t="str">
        <f t="shared" si="51"/>
        <v>OK</v>
      </c>
      <c r="G507" s="11" t="str">
        <f>IF(COUNTIFS($A:$A,A507,$E:E,E507)&gt;1,"NOK","OK")</f>
        <v>OK</v>
      </c>
      <c r="H507" s="11" t="str">
        <f t="shared" si="52"/>
        <v>OK</v>
      </c>
      <c r="I507" s="11" t="str">
        <f t="shared" si="53"/>
        <v>OK</v>
      </c>
      <c r="J507" s="11" t="str">
        <f t="shared" si="54"/>
        <v>OK</v>
      </c>
      <c r="K507" s="11" t="str">
        <f t="shared" si="55"/>
        <v>OK</v>
      </c>
      <c r="R507" t="str">
        <f t="shared" si="56"/>
        <v>Keep</v>
      </c>
    </row>
    <row r="508" spans="1:18" ht="15">
      <c r="A508" s="23" t="s">
        <v>518</v>
      </c>
      <c r="B508" s="24" t="s">
        <v>7</v>
      </c>
      <c r="C508" s="24" t="s">
        <v>172</v>
      </c>
      <c r="D508" s="7">
        <v>135960</v>
      </c>
      <c r="E508" s="24" t="s">
        <v>16</v>
      </c>
      <c r="F508" s="11" t="str">
        <f t="shared" si="51"/>
        <v>OK</v>
      </c>
      <c r="G508" s="11" t="str">
        <f>IF(COUNTIFS($A:$A,A508,$E:E,E508)&gt;1,"NOK","OK")</f>
        <v>OK</v>
      </c>
      <c r="H508" s="11" t="str">
        <f t="shared" si="52"/>
        <v>OK</v>
      </c>
      <c r="I508" s="11" t="str">
        <f t="shared" si="53"/>
        <v>OK</v>
      </c>
      <c r="J508" s="11" t="str">
        <f t="shared" si="54"/>
        <v>OK</v>
      </c>
      <c r="K508" s="11" t="str">
        <f t="shared" si="55"/>
        <v>OK</v>
      </c>
      <c r="R508" t="str">
        <f t="shared" si="56"/>
        <v>Keep</v>
      </c>
    </row>
    <row r="509" spans="1:18" ht="15">
      <c r="A509" s="23" t="s">
        <v>519</v>
      </c>
      <c r="B509" s="24" t="s">
        <v>7</v>
      </c>
      <c r="C509" s="24" t="s">
        <v>172</v>
      </c>
      <c r="D509" s="7">
        <v>68663</v>
      </c>
      <c r="E509" s="24" t="s">
        <v>9</v>
      </c>
      <c r="F509" s="11" t="str">
        <f t="shared" si="51"/>
        <v>OK</v>
      </c>
      <c r="G509" s="11" t="str">
        <f>IF(COUNTIFS($A:$A,A509,$E:E,E509)&gt;1,"NOK","OK")</f>
        <v>OK</v>
      </c>
      <c r="H509" s="11" t="str">
        <f t="shared" si="52"/>
        <v>OK</v>
      </c>
      <c r="I509" s="11" t="str">
        <f t="shared" si="53"/>
        <v>OK</v>
      </c>
      <c r="J509" s="11" t="str">
        <f t="shared" si="54"/>
        <v>OK</v>
      </c>
      <c r="K509" s="11" t="str">
        <f t="shared" si="55"/>
        <v>OK</v>
      </c>
      <c r="R509" t="str">
        <f t="shared" si="56"/>
        <v>Keep</v>
      </c>
    </row>
    <row r="510" spans="1:18" ht="15">
      <c r="A510" s="23" t="s">
        <v>520</v>
      </c>
      <c r="B510" s="24" t="s">
        <v>7</v>
      </c>
      <c r="C510" s="24" t="s">
        <v>172</v>
      </c>
      <c r="D510" s="7">
        <v>21444</v>
      </c>
      <c r="E510" s="24" t="s">
        <v>12</v>
      </c>
      <c r="F510" s="11" t="str">
        <f t="shared" si="51"/>
        <v>OK</v>
      </c>
      <c r="G510" s="11" t="str">
        <f>IF(COUNTIFS($A:$A,A510,$E:E,E510)&gt;1,"NOK","OK")</f>
        <v>OK</v>
      </c>
      <c r="H510" s="11" t="str">
        <f t="shared" si="52"/>
        <v>OK</v>
      </c>
      <c r="I510" s="11" t="str">
        <f t="shared" si="53"/>
        <v>OK</v>
      </c>
      <c r="J510" s="11" t="str">
        <f t="shared" si="54"/>
        <v>OK</v>
      </c>
      <c r="K510" s="11" t="str">
        <f t="shared" si="55"/>
        <v>OK</v>
      </c>
      <c r="R510" t="str">
        <f t="shared" si="56"/>
        <v>Keep</v>
      </c>
    </row>
    <row r="511" spans="1:18" ht="15">
      <c r="A511" s="23" t="s">
        <v>521</v>
      </c>
      <c r="B511" s="24" t="s">
        <v>11</v>
      </c>
      <c r="C511" s="24" t="s">
        <v>172</v>
      </c>
      <c r="D511" s="7">
        <v>152442</v>
      </c>
      <c r="E511" s="24" t="s">
        <v>12</v>
      </c>
      <c r="F511" s="11" t="str">
        <f t="shared" si="51"/>
        <v>OK</v>
      </c>
      <c r="G511" s="11" t="str">
        <f>IF(COUNTIFS($A:$A,A511,$E:E,E511)&gt;1,"NOK","OK")</f>
        <v>OK</v>
      </c>
      <c r="H511" s="11" t="str">
        <f t="shared" si="52"/>
        <v>OK</v>
      </c>
      <c r="I511" s="11" t="str">
        <f t="shared" si="53"/>
        <v>OK</v>
      </c>
      <c r="J511" s="11" t="str">
        <f t="shared" si="54"/>
        <v>OK</v>
      </c>
      <c r="K511" s="11" t="str">
        <f t="shared" si="55"/>
        <v>OK</v>
      </c>
      <c r="R511" t="str">
        <f t="shared" si="56"/>
        <v>Keep</v>
      </c>
    </row>
    <row r="512" spans="1:18" ht="15">
      <c r="A512" s="23" t="s">
        <v>522</v>
      </c>
      <c r="B512" s="24" t="s">
        <v>7</v>
      </c>
      <c r="C512" s="24" t="s">
        <v>172</v>
      </c>
      <c r="D512" s="7">
        <v>256970</v>
      </c>
      <c r="E512" s="24" t="s">
        <v>16</v>
      </c>
      <c r="F512" s="11" t="str">
        <f t="shared" si="51"/>
        <v>OK</v>
      </c>
      <c r="G512" s="11" t="str">
        <f>IF(COUNTIFS($A:$A,A512,$E:E,E512)&gt;1,"NOK","OK")</f>
        <v>OK</v>
      </c>
      <c r="H512" s="11" t="str">
        <f t="shared" si="52"/>
        <v>OK</v>
      </c>
      <c r="I512" s="11" t="str">
        <f t="shared" si="53"/>
        <v>OK</v>
      </c>
      <c r="J512" s="11" t="str">
        <f t="shared" si="54"/>
        <v>OK</v>
      </c>
      <c r="K512" s="11" t="str">
        <f t="shared" si="55"/>
        <v>OK</v>
      </c>
      <c r="R512" t="str">
        <f t="shared" si="56"/>
        <v>Keep</v>
      </c>
    </row>
    <row r="513" spans="1:18" ht="15">
      <c r="A513" s="23" t="s">
        <v>523</v>
      </c>
      <c r="B513" s="24" t="s">
        <v>7</v>
      </c>
      <c r="C513" s="24" t="s">
        <v>172</v>
      </c>
      <c r="D513" s="7">
        <v>222570</v>
      </c>
      <c r="E513" s="24" t="s">
        <v>9</v>
      </c>
      <c r="F513" s="11" t="str">
        <f t="shared" si="51"/>
        <v>OK</v>
      </c>
      <c r="G513" s="11" t="str">
        <f>IF(COUNTIFS($A:$A,A513,$E:E,E513)&gt;1,"NOK","OK")</f>
        <v>NOK</v>
      </c>
      <c r="H513" s="11" t="str">
        <f t="shared" si="52"/>
        <v>OK</v>
      </c>
      <c r="I513" s="11" t="str">
        <f t="shared" si="53"/>
        <v>OK</v>
      </c>
      <c r="J513" s="11" t="str">
        <f t="shared" si="54"/>
        <v>OK</v>
      </c>
      <c r="K513" s="11" t="str">
        <f t="shared" si="55"/>
        <v>OK</v>
      </c>
      <c r="R513" t="str">
        <f t="shared" si="56"/>
        <v>Hide</v>
      </c>
    </row>
    <row r="514" spans="1:18" ht="15">
      <c r="A514" s="23" t="s">
        <v>524</v>
      </c>
      <c r="B514" s="24" t="s">
        <v>7</v>
      </c>
      <c r="C514" s="24" t="s">
        <v>172</v>
      </c>
      <c r="D514" s="7">
        <v>121017</v>
      </c>
      <c r="E514" s="24" t="s">
        <v>9</v>
      </c>
      <c r="F514" s="11" t="str">
        <f t="shared" si="51"/>
        <v>OK</v>
      </c>
      <c r="G514" s="11" t="str">
        <f>IF(COUNTIFS($A:$A,A514,$E:E,E514)&gt;1,"NOK","OK")</f>
        <v>NOK</v>
      </c>
      <c r="H514" s="11" t="str">
        <f t="shared" si="52"/>
        <v>OK</v>
      </c>
      <c r="I514" s="11" t="str">
        <f t="shared" si="53"/>
        <v>OK</v>
      </c>
      <c r="J514" s="11" t="str">
        <f t="shared" si="54"/>
        <v>OK</v>
      </c>
      <c r="K514" s="11" t="str">
        <f t="shared" si="55"/>
        <v>OK</v>
      </c>
      <c r="R514" t="str">
        <f t="shared" ref="R514:R515" si="57">IF(COUNTIF(F513:L513, "NOK") &gt; 0, "Hide", "Keep")</f>
        <v>Hide</v>
      </c>
    </row>
    <row r="515" spans="1:18" ht="15">
      <c r="A515" s="23" t="s">
        <v>525</v>
      </c>
      <c r="B515" s="24" t="s">
        <v>7</v>
      </c>
      <c r="C515" s="24" t="s">
        <v>172</v>
      </c>
      <c r="D515" s="7">
        <v>69653</v>
      </c>
      <c r="E515" s="24" t="s">
        <v>16</v>
      </c>
      <c r="F515" s="11" t="str">
        <f t="shared" si="51"/>
        <v>OK</v>
      </c>
      <c r="G515" s="11" t="str">
        <f>IF(COUNTIFS($A:$A,A515,$E:E,E515)&gt;1,"NOK","OK")</f>
        <v>OK</v>
      </c>
      <c r="H515" s="11" t="str">
        <f t="shared" si="52"/>
        <v>OK</v>
      </c>
      <c r="I515" s="11" t="str">
        <f t="shared" si="53"/>
        <v>OK</v>
      </c>
      <c r="J515" s="11" t="str">
        <f t="shared" si="54"/>
        <v>OK</v>
      </c>
      <c r="K515" s="11" t="str">
        <f t="shared" si="55"/>
        <v>OK</v>
      </c>
      <c r="R515" t="str">
        <f t="shared" si="57"/>
        <v>Hide</v>
      </c>
    </row>
    <row r="516" spans="1:18" ht="15">
      <c r="A516" s="23" t="s">
        <v>526</v>
      </c>
      <c r="B516" s="24" t="s">
        <v>11</v>
      </c>
      <c r="C516" s="24" t="s">
        <v>172</v>
      </c>
      <c r="D516" s="7">
        <v>67669</v>
      </c>
      <c r="E516" s="24" t="s">
        <v>12</v>
      </c>
      <c r="F516" s="11" t="str">
        <f t="shared" ref="F516:F579" si="58">IF(COUNTA($A516:$E516),"OK","NOK")</f>
        <v>OK</v>
      </c>
      <c r="G516" s="11" t="str">
        <f>IF(COUNTIFS($A:$A,A516,$E:E,E516)&gt;1,"NOK","OK")</f>
        <v>OK</v>
      </c>
      <c r="H516" s="11" t="str">
        <f t="shared" ref="H516:H579" si="59">IF(OR(B516="Corporate", B516="Emerging", B516="Enterprise", B516="Small Business"),"OK","NOK")</f>
        <v>OK</v>
      </c>
      <c r="I516" s="11" t="str">
        <f t="shared" ref="I516:I579" si="60">IF(OR(C516="ANZ", C516="DACH", C516="France", C516="North America", C516="UK"),"OK","NOK")</f>
        <v>OK</v>
      </c>
      <c r="J516" s="11" t="str">
        <f t="shared" ref="J516:J579" si="61">IF(OR(D516&lt;=0, D516&gt;300000),"NOK","OK")</f>
        <v>OK</v>
      </c>
      <c r="K516" s="11" t="str">
        <f t="shared" ref="K516:K579" si="62">IF(OR(E516="FY23", E516="FY24", E516="FY25"),"OK","NOK")</f>
        <v>OK</v>
      </c>
      <c r="R516" t="str">
        <f t="shared" ref="R516:R579" si="63">IF(COUNTIF(F516:K516, "NOK") &gt; 0, "Hide", "Keep")</f>
        <v>Keep</v>
      </c>
    </row>
    <row r="517" spans="1:18" ht="15">
      <c r="A517" s="23" t="s">
        <v>527</v>
      </c>
      <c r="B517" s="24" t="s">
        <v>7</v>
      </c>
      <c r="C517" s="24" t="s">
        <v>172</v>
      </c>
      <c r="D517" s="7">
        <v>293972</v>
      </c>
      <c r="E517" s="24" t="s">
        <v>16</v>
      </c>
      <c r="F517" s="11" t="str">
        <f t="shared" si="58"/>
        <v>OK</v>
      </c>
      <c r="G517" s="11" t="str">
        <f>IF(COUNTIFS($A:$A,A517,$E:E,E517)&gt;1,"NOK","OK")</f>
        <v>OK</v>
      </c>
      <c r="H517" s="11" t="str">
        <f t="shared" si="59"/>
        <v>OK</v>
      </c>
      <c r="I517" s="11" t="str">
        <f t="shared" si="60"/>
        <v>OK</v>
      </c>
      <c r="J517" s="11" t="str">
        <f t="shared" si="61"/>
        <v>OK</v>
      </c>
      <c r="K517" s="11" t="str">
        <f t="shared" si="62"/>
        <v>OK</v>
      </c>
      <c r="R517" t="str">
        <f t="shared" si="63"/>
        <v>Keep</v>
      </c>
    </row>
    <row r="518" spans="1:18" ht="15">
      <c r="A518" s="23" t="s">
        <v>528</v>
      </c>
      <c r="B518" s="24" t="s">
        <v>7</v>
      </c>
      <c r="C518" s="24" t="s">
        <v>172</v>
      </c>
      <c r="D518" s="7">
        <v>281114</v>
      </c>
      <c r="E518" s="24" t="s">
        <v>12</v>
      </c>
      <c r="F518" s="11" t="str">
        <f t="shared" si="58"/>
        <v>OK</v>
      </c>
      <c r="G518" s="11" t="str">
        <f>IF(COUNTIFS($A:$A,A518,$E:E,E518)&gt;1,"NOK","OK")</f>
        <v>OK</v>
      </c>
      <c r="H518" s="11" t="str">
        <f t="shared" si="59"/>
        <v>OK</v>
      </c>
      <c r="I518" s="11" t="str">
        <f t="shared" si="60"/>
        <v>OK</v>
      </c>
      <c r="J518" s="11" t="str">
        <f t="shared" si="61"/>
        <v>OK</v>
      </c>
      <c r="K518" s="11" t="str">
        <f t="shared" si="62"/>
        <v>OK</v>
      </c>
      <c r="R518" t="str">
        <f t="shared" si="63"/>
        <v>Keep</v>
      </c>
    </row>
    <row r="519" spans="1:18" ht="15">
      <c r="A519" s="23" t="s">
        <v>529</v>
      </c>
      <c r="B519" s="24" t="s">
        <v>7</v>
      </c>
      <c r="C519" s="24" t="s">
        <v>172</v>
      </c>
      <c r="D519" s="7">
        <v>56901</v>
      </c>
      <c r="E519" s="24" t="s">
        <v>12</v>
      </c>
      <c r="F519" s="11" t="str">
        <f t="shared" si="58"/>
        <v>OK</v>
      </c>
      <c r="G519" s="11" t="str">
        <f>IF(COUNTIFS($A:$A,A519,$E:E,E519)&gt;1,"NOK","OK")</f>
        <v>OK</v>
      </c>
      <c r="H519" s="11" t="str">
        <f t="shared" si="59"/>
        <v>OK</v>
      </c>
      <c r="I519" s="11" t="str">
        <f t="shared" si="60"/>
        <v>OK</v>
      </c>
      <c r="J519" s="11" t="str">
        <f t="shared" si="61"/>
        <v>OK</v>
      </c>
      <c r="K519" s="11" t="str">
        <f t="shared" si="62"/>
        <v>OK</v>
      </c>
      <c r="R519" t="str">
        <f t="shared" si="63"/>
        <v>Keep</v>
      </c>
    </row>
    <row r="520" spans="1:18" ht="15">
      <c r="A520" s="23" t="s">
        <v>530</v>
      </c>
      <c r="B520" s="24" t="s">
        <v>11</v>
      </c>
      <c r="C520" s="24" t="s">
        <v>172</v>
      </c>
      <c r="D520" s="7">
        <v>106125</v>
      </c>
      <c r="E520" s="24" t="s">
        <v>9</v>
      </c>
      <c r="F520" s="11" t="str">
        <f t="shared" si="58"/>
        <v>OK</v>
      </c>
      <c r="G520" s="11" t="str">
        <f>IF(COUNTIFS($A:$A,A520,$E:E,E520)&gt;1,"NOK","OK")</f>
        <v>OK</v>
      </c>
      <c r="H520" s="11" t="str">
        <f t="shared" si="59"/>
        <v>OK</v>
      </c>
      <c r="I520" s="11" t="str">
        <f t="shared" si="60"/>
        <v>OK</v>
      </c>
      <c r="J520" s="11" t="str">
        <f t="shared" si="61"/>
        <v>OK</v>
      </c>
      <c r="K520" s="11" t="str">
        <f t="shared" si="62"/>
        <v>OK</v>
      </c>
      <c r="R520" t="str">
        <f t="shared" si="63"/>
        <v>Keep</v>
      </c>
    </row>
    <row r="521" spans="1:18" ht="15">
      <c r="A521" s="23" t="s">
        <v>531</v>
      </c>
      <c r="B521" s="24" t="s">
        <v>7</v>
      </c>
      <c r="C521" s="24" t="s">
        <v>172</v>
      </c>
      <c r="D521" s="7">
        <v>171463</v>
      </c>
      <c r="E521" s="24" t="s">
        <v>12</v>
      </c>
      <c r="F521" s="11" t="str">
        <f t="shared" si="58"/>
        <v>OK</v>
      </c>
      <c r="G521" s="11" t="str">
        <f>IF(COUNTIFS($A:$A,A521,$E:E,E521)&gt;1,"NOK","OK")</f>
        <v>OK</v>
      </c>
      <c r="H521" s="11" t="str">
        <f t="shared" si="59"/>
        <v>OK</v>
      </c>
      <c r="I521" s="11" t="str">
        <f t="shared" si="60"/>
        <v>OK</v>
      </c>
      <c r="J521" s="11" t="str">
        <f t="shared" si="61"/>
        <v>OK</v>
      </c>
      <c r="K521" s="11" t="str">
        <f t="shared" si="62"/>
        <v>OK</v>
      </c>
      <c r="R521" t="str">
        <f t="shared" si="63"/>
        <v>Keep</v>
      </c>
    </row>
    <row r="522" spans="1:18" ht="15">
      <c r="A522" s="23" t="s">
        <v>532</v>
      </c>
      <c r="B522" s="24" t="s">
        <v>7</v>
      </c>
      <c r="C522" s="24" t="s">
        <v>172</v>
      </c>
      <c r="D522" s="7">
        <v>238349</v>
      </c>
      <c r="E522" s="24" t="s">
        <v>12</v>
      </c>
      <c r="F522" s="11" t="str">
        <f t="shared" si="58"/>
        <v>OK</v>
      </c>
      <c r="G522" s="11" t="str">
        <f>IF(COUNTIFS($A:$A,A522,$E:E,E522)&gt;1,"NOK","OK")</f>
        <v>OK</v>
      </c>
      <c r="H522" s="11" t="str">
        <f t="shared" si="59"/>
        <v>OK</v>
      </c>
      <c r="I522" s="11" t="str">
        <f t="shared" si="60"/>
        <v>OK</v>
      </c>
      <c r="J522" s="11" t="str">
        <f t="shared" si="61"/>
        <v>OK</v>
      </c>
      <c r="K522" s="11" t="str">
        <f t="shared" si="62"/>
        <v>OK</v>
      </c>
      <c r="R522" t="str">
        <f t="shared" si="63"/>
        <v>Keep</v>
      </c>
    </row>
    <row r="523" spans="1:18" ht="15">
      <c r="A523" s="23" t="s">
        <v>533</v>
      </c>
      <c r="B523" s="24" t="s">
        <v>7</v>
      </c>
      <c r="C523" s="24" t="s">
        <v>172</v>
      </c>
      <c r="D523" s="7">
        <v>170769</v>
      </c>
      <c r="E523" s="24" t="s">
        <v>12</v>
      </c>
      <c r="F523" s="11" t="str">
        <f t="shared" si="58"/>
        <v>OK</v>
      </c>
      <c r="G523" s="11" t="str">
        <f>IF(COUNTIFS($A:$A,A523,$E:E,E523)&gt;1,"NOK","OK")</f>
        <v>OK</v>
      </c>
      <c r="H523" s="11" t="str">
        <f t="shared" si="59"/>
        <v>OK</v>
      </c>
      <c r="I523" s="11" t="str">
        <f t="shared" si="60"/>
        <v>OK</v>
      </c>
      <c r="J523" s="11" t="str">
        <f t="shared" si="61"/>
        <v>OK</v>
      </c>
      <c r="K523" s="11" t="str">
        <f t="shared" si="62"/>
        <v>OK</v>
      </c>
      <c r="R523" t="str">
        <f t="shared" si="63"/>
        <v>Keep</v>
      </c>
    </row>
    <row r="524" spans="1:18" ht="15">
      <c r="A524" s="23" t="s">
        <v>534</v>
      </c>
      <c r="B524" s="24" t="s">
        <v>11</v>
      </c>
      <c r="C524" s="24" t="s">
        <v>172</v>
      </c>
      <c r="D524" s="7">
        <v>160365</v>
      </c>
      <c r="E524" s="24" t="s">
        <v>12</v>
      </c>
      <c r="F524" s="11" t="str">
        <f t="shared" si="58"/>
        <v>OK</v>
      </c>
      <c r="G524" s="11" t="str">
        <f>IF(COUNTIFS($A:$A,A524,$E:E,E524)&gt;1,"NOK","OK")</f>
        <v>OK</v>
      </c>
      <c r="H524" s="11" t="str">
        <f t="shared" si="59"/>
        <v>OK</v>
      </c>
      <c r="I524" s="11" t="str">
        <f t="shared" si="60"/>
        <v>OK</v>
      </c>
      <c r="J524" s="11" t="str">
        <f t="shared" si="61"/>
        <v>OK</v>
      </c>
      <c r="K524" s="11" t="str">
        <f t="shared" si="62"/>
        <v>OK</v>
      </c>
      <c r="R524" t="str">
        <f t="shared" si="63"/>
        <v>Keep</v>
      </c>
    </row>
    <row r="525" spans="1:18" ht="15">
      <c r="A525" s="23" t="s">
        <v>535</v>
      </c>
      <c r="B525" s="24" t="s">
        <v>7</v>
      </c>
      <c r="C525" s="24" t="s">
        <v>172</v>
      </c>
      <c r="D525" s="7">
        <v>158384</v>
      </c>
      <c r="E525" s="24" t="s">
        <v>12</v>
      </c>
      <c r="F525" s="11" t="str">
        <f t="shared" si="58"/>
        <v>OK</v>
      </c>
      <c r="G525" s="11" t="str">
        <f>IF(COUNTIFS($A:$A,A525,$E:E,E525)&gt;1,"NOK","OK")</f>
        <v>OK</v>
      </c>
      <c r="H525" s="11" t="str">
        <f t="shared" si="59"/>
        <v>OK</v>
      </c>
      <c r="I525" s="11" t="str">
        <f t="shared" si="60"/>
        <v>OK</v>
      </c>
      <c r="J525" s="11" t="str">
        <f t="shared" si="61"/>
        <v>OK</v>
      </c>
      <c r="K525" s="11" t="str">
        <f t="shared" si="62"/>
        <v>OK</v>
      </c>
      <c r="R525" t="str">
        <f t="shared" si="63"/>
        <v>Keep</v>
      </c>
    </row>
    <row r="526" spans="1:18" ht="15">
      <c r="A526" s="23" t="s">
        <v>536</v>
      </c>
      <c r="B526" s="24" t="s">
        <v>7</v>
      </c>
      <c r="C526" s="24" t="s">
        <v>172</v>
      </c>
      <c r="D526" s="7">
        <v>158118</v>
      </c>
      <c r="E526" s="24" t="s">
        <v>16</v>
      </c>
      <c r="F526" s="11" t="str">
        <f t="shared" si="58"/>
        <v>OK</v>
      </c>
      <c r="G526" s="11" t="str">
        <f>IF(COUNTIFS($A:$A,A526,$E:E,E526)&gt;1,"NOK","OK")</f>
        <v>OK</v>
      </c>
      <c r="H526" s="11" t="str">
        <f t="shared" si="59"/>
        <v>OK</v>
      </c>
      <c r="I526" s="11" t="str">
        <f t="shared" si="60"/>
        <v>OK</v>
      </c>
      <c r="J526" s="11" t="str">
        <f t="shared" si="61"/>
        <v>OK</v>
      </c>
      <c r="K526" s="11" t="str">
        <f t="shared" si="62"/>
        <v>OK</v>
      </c>
      <c r="R526" t="str">
        <f t="shared" si="63"/>
        <v>Keep</v>
      </c>
    </row>
    <row r="527" spans="1:18" ht="15">
      <c r="A527" s="23" t="s">
        <v>537</v>
      </c>
      <c r="B527" s="24" t="s">
        <v>7</v>
      </c>
      <c r="C527" s="24" t="s">
        <v>172</v>
      </c>
      <c r="D527" s="7">
        <v>144299</v>
      </c>
      <c r="E527" s="24" t="s">
        <v>12</v>
      </c>
      <c r="F527" s="11" t="str">
        <f t="shared" si="58"/>
        <v>OK</v>
      </c>
      <c r="G527" s="11" t="str">
        <f>IF(COUNTIFS($A:$A,A527,$E:E,E527)&gt;1,"NOK","OK")</f>
        <v>OK</v>
      </c>
      <c r="H527" s="11" t="str">
        <f t="shared" si="59"/>
        <v>OK</v>
      </c>
      <c r="I527" s="11" t="str">
        <f t="shared" si="60"/>
        <v>OK</v>
      </c>
      <c r="J527" s="11" t="str">
        <f t="shared" si="61"/>
        <v>OK</v>
      </c>
      <c r="K527" s="11" t="str">
        <f t="shared" si="62"/>
        <v>OK</v>
      </c>
      <c r="R527" t="str">
        <f t="shared" si="63"/>
        <v>Keep</v>
      </c>
    </row>
    <row r="528" spans="1:18" ht="15">
      <c r="A528" s="23" t="s">
        <v>538</v>
      </c>
      <c r="B528" s="24" t="s">
        <v>7</v>
      </c>
      <c r="C528" s="24" t="s">
        <v>172</v>
      </c>
      <c r="D528" s="7">
        <v>154246</v>
      </c>
      <c r="E528" s="24" t="s">
        <v>12</v>
      </c>
      <c r="F528" s="11" t="str">
        <f t="shared" si="58"/>
        <v>OK</v>
      </c>
      <c r="G528" s="11" t="str">
        <f>IF(COUNTIFS($A:$A,A528,$E:E,E528)&gt;1,"NOK","OK")</f>
        <v>OK</v>
      </c>
      <c r="H528" s="11" t="str">
        <f t="shared" si="59"/>
        <v>OK</v>
      </c>
      <c r="I528" s="11" t="str">
        <f t="shared" si="60"/>
        <v>OK</v>
      </c>
      <c r="J528" s="11" t="str">
        <f t="shared" si="61"/>
        <v>OK</v>
      </c>
      <c r="K528" s="11" t="str">
        <f t="shared" si="62"/>
        <v>OK</v>
      </c>
      <c r="R528" t="str">
        <f t="shared" si="63"/>
        <v>Keep</v>
      </c>
    </row>
    <row r="529" spans="1:18" ht="15">
      <c r="A529" s="23" t="s">
        <v>539</v>
      </c>
      <c r="B529" s="24" t="s">
        <v>7</v>
      </c>
      <c r="C529" s="24" t="s">
        <v>172</v>
      </c>
      <c r="D529" s="7">
        <v>182434</v>
      </c>
      <c r="E529" s="24" t="s">
        <v>16</v>
      </c>
      <c r="F529" s="11" t="str">
        <f t="shared" si="58"/>
        <v>OK</v>
      </c>
      <c r="G529" s="11" t="str">
        <f>IF(COUNTIFS($A:$A,A529,$E:E,E529)&gt;1,"NOK","OK")</f>
        <v>OK</v>
      </c>
      <c r="H529" s="11" t="str">
        <f t="shared" si="59"/>
        <v>OK</v>
      </c>
      <c r="I529" s="11" t="str">
        <f t="shared" si="60"/>
        <v>OK</v>
      </c>
      <c r="J529" s="11" t="str">
        <f t="shared" si="61"/>
        <v>OK</v>
      </c>
      <c r="K529" s="11" t="str">
        <f t="shared" si="62"/>
        <v>OK</v>
      </c>
      <c r="R529" t="str">
        <f t="shared" si="63"/>
        <v>Keep</v>
      </c>
    </row>
    <row r="530" spans="1:18" ht="15">
      <c r="A530" s="23" t="s">
        <v>540</v>
      </c>
      <c r="B530" s="24" t="s">
        <v>11</v>
      </c>
      <c r="C530" s="24" t="s">
        <v>172</v>
      </c>
      <c r="D530" s="7">
        <v>93034</v>
      </c>
      <c r="E530" s="24" t="s">
        <v>12</v>
      </c>
      <c r="F530" s="11" t="str">
        <f t="shared" si="58"/>
        <v>OK</v>
      </c>
      <c r="G530" s="11" t="str">
        <f>IF(COUNTIFS($A:$A,A530,$E:E,E530)&gt;1,"NOK","OK")</f>
        <v>OK</v>
      </c>
      <c r="H530" s="11" t="str">
        <f t="shared" si="59"/>
        <v>OK</v>
      </c>
      <c r="I530" s="11" t="str">
        <f t="shared" si="60"/>
        <v>OK</v>
      </c>
      <c r="J530" s="11" t="str">
        <f t="shared" si="61"/>
        <v>OK</v>
      </c>
      <c r="K530" s="11" t="str">
        <f t="shared" si="62"/>
        <v>OK</v>
      </c>
      <c r="R530" t="str">
        <f t="shared" si="63"/>
        <v>Keep</v>
      </c>
    </row>
    <row r="531" spans="1:18" ht="15">
      <c r="A531" s="23" t="s">
        <v>541</v>
      </c>
      <c r="B531" s="24" t="s">
        <v>11</v>
      </c>
      <c r="C531" s="24" t="s">
        <v>172</v>
      </c>
      <c r="D531" s="7">
        <v>1725</v>
      </c>
      <c r="E531" s="24" t="s">
        <v>9</v>
      </c>
      <c r="F531" s="11" t="str">
        <f t="shared" si="58"/>
        <v>OK</v>
      </c>
      <c r="G531" s="11" t="str">
        <f>IF(COUNTIFS($A:$A,A531,$E:E,E531)&gt;1,"NOK","OK")</f>
        <v>OK</v>
      </c>
      <c r="H531" s="11" t="str">
        <f t="shared" si="59"/>
        <v>OK</v>
      </c>
      <c r="I531" s="11" t="str">
        <f t="shared" si="60"/>
        <v>OK</v>
      </c>
      <c r="J531" s="11" t="str">
        <f t="shared" si="61"/>
        <v>OK</v>
      </c>
      <c r="K531" s="11" t="str">
        <f t="shared" si="62"/>
        <v>OK</v>
      </c>
      <c r="R531" t="str">
        <f t="shared" si="63"/>
        <v>Keep</v>
      </c>
    </row>
    <row r="532" spans="1:18" ht="15">
      <c r="A532" s="23" t="s">
        <v>542</v>
      </c>
      <c r="B532" s="24" t="s">
        <v>7</v>
      </c>
      <c r="C532" s="24" t="s">
        <v>172</v>
      </c>
      <c r="D532" s="7">
        <v>259946</v>
      </c>
      <c r="E532" s="24" t="s">
        <v>16</v>
      </c>
      <c r="F532" s="11" t="str">
        <f t="shared" si="58"/>
        <v>OK</v>
      </c>
      <c r="G532" s="11" t="str">
        <f>IF(COUNTIFS($A:$A,A532,$E:E,E532)&gt;1,"NOK","OK")</f>
        <v>OK</v>
      </c>
      <c r="H532" s="11" t="str">
        <f t="shared" si="59"/>
        <v>OK</v>
      </c>
      <c r="I532" s="11" t="str">
        <f t="shared" si="60"/>
        <v>OK</v>
      </c>
      <c r="J532" s="11" t="str">
        <f t="shared" si="61"/>
        <v>OK</v>
      </c>
      <c r="K532" s="11" t="str">
        <f t="shared" si="62"/>
        <v>OK</v>
      </c>
      <c r="R532" t="str">
        <f t="shared" si="63"/>
        <v>Keep</v>
      </c>
    </row>
    <row r="533" spans="1:18" ht="15">
      <c r="A533" s="23" t="s">
        <v>543</v>
      </c>
      <c r="B533" s="24" t="s">
        <v>7</v>
      </c>
      <c r="C533" s="24" t="s">
        <v>172</v>
      </c>
      <c r="D533" s="7">
        <v>162855</v>
      </c>
      <c r="E533" s="24" t="s">
        <v>9</v>
      </c>
      <c r="F533" s="11" t="str">
        <f t="shared" si="58"/>
        <v>OK</v>
      </c>
      <c r="G533" s="11" t="str">
        <f>IF(COUNTIFS($A:$A,A533,$E:E,E533)&gt;1,"NOK","OK")</f>
        <v>OK</v>
      </c>
      <c r="H533" s="11" t="str">
        <f t="shared" si="59"/>
        <v>OK</v>
      </c>
      <c r="I533" s="11" t="str">
        <f t="shared" si="60"/>
        <v>OK</v>
      </c>
      <c r="J533" s="11" t="str">
        <f t="shared" si="61"/>
        <v>OK</v>
      </c>
      <c r="K533" s="11" t="str">
        <f t="shared" si="62"/>
        <v>OK</v>
      </c>
      <c r="R533" t="str">
        <f t="shared" si="63"/>
        <v>Keep</v>
      </c>
    </row>
    <row r="534" spans="1:18" ht="15">
      <c r="A534" s="23" t="s">
        <v>544</v>
      </c>
      <c r="B534" s="24" t="s">
        <v>7</v>
      </c>
      <c r="C534" s="24" t="s">
        <v>172</v>
      </c>
      <c r="D534" s="7">
        <v>56720</v>
      </c>
      <c r="E534" s="24" t="s">
        <v>16</v>
      </c>
      <c r="F534" s="11" t="str">
        <f t="shared" si="58"/>
        <v>OK</v>
      </c>
      <c r="G534" s="11" t="str">
        <f>IF(COUNTIFS($A:$A,A534,$E:E,E534)&gt;1,"NOK","OK")</f>
        <v>OK</v>
      </c>
      <c r="H534" s="11" t="str">
        <f t="shared" si="59"/>
        <v>OK</v>
      </c>
      <c r="I534" s="11" t="str">
        <f t="shared" si="60"/>
        <v>OK</v>
      </c>
      <c r="J534" s="11" t="str">
        <f t="shared" si="61"/>
        <v>OK</v>
      </c>
      <c r="K534" s="11" t="str">
        <f t="shared" si="62"/>
        <v>OK</v>
      </c>
      <c r="R534" t="str">
        <f t="shared" si="63"/>
        <v>Keep</v>
      </c>
    </row>
    <row r="535" spans="1:18" ht="15">
      <c r="A535" s="23" t="s">
        <v>545</v>
      </c>
      <c r="B535" s="24" t="s">
        <v>7</v>
      </c>
      <c r="C535" s="24" t="s">
        <v>172</v>
      </c>
      <c r="D535" s="7">
        <v>199930</v>
      </c>
      <c r="E535" s="24" t="s">
        <v>9</v>
      </c>
      <c r="F535" s="11" t="str">
        <f t="shared" si="58"/>
        <v>OK</v>
      </c>
      <c r="G535" s="11" t="str">
        <f>IF(COUNTIFS($A:$A,A535,$E:E,E535)&gt;1,"NOK","OK")</f>
        <v>OK</v>
      </c>
      <c r="H535" s="11" t="str">
        <f t="shared" si="59"/>
        <v>OK</v>
      </c>
      <c r="I535" s="11" t="str">
        <f t="shared" si="60"/>
        <v>OK</v>
      </c>
      <c r="J535" s="11" t="str">
        <f t="shared" si="61"/>
        <v>OK</v>
      </c>
      <c r="K535" s="11" t="str">
        <f t="shared" si="62"/>
        <v>OK</v>
      </c>
      <c r="R535" t="str">
        <f t="shared" si="63"/>
        <v>Keep</v>
      </c>
    </row>
    <row r="536" spans="1:18" ht="15">
      <c r="A536" s="23" t="s">
        <v>546</v>
      </c>
      <c r="B536" s="24" t="s">
        <v>7</v>
      </c>
      <c r="C536" s="24" t="s">
        <v>172</v>
      </c>
      <c r="D536" s="7">
        <v>281504</v>
      </c>
      <c r="E536" s="24" t="s">
        <v>9</v>
      </c>
      <c r="F536" s="11" t="str">
        <f t="shared" si="58"/>
        <v>OK</v>
      </c>
      <c r="G536" s="11" t="str">
        <f>IF(COUNTIFS($A:$A,A536,$E:E,E536)&gt;1,"NOK","OK")</f>
        <v>OK</v>
      </c>
      <c r="H536" s="11" t="str">
        <f t="shared" si="59"/>
        <v>OK</v>
      </c>
      <c r="I536" s="11" t="str">
        <f t="shared" si="60"/>
        <v>OK</v>
      </c>
      <c r="J536" s="11" t="str">
        <f t="shared" si="61"/>
        <v>OK</v>
      </c>
      <c r="K536" s="11" t="str">
        <f t="shared" si="62"/>
        <v>OK</v>
      </c>
      <c r="R536" t="str">
        <f t="shared" si="63"/>
        <v>Keep</v>
      </c>
    </row>
    <row r="537" spans="1:18" ht="15">
      <c r="A537" s="23" t="s">
        <v>547</v>
      </c>
      <c r="B537" s="24" t="s">
        <v>7</v>
      </c>
      <c r="C537" s="24" t="s">
        <v>172</v>
      </c>
      <c r="D537" s="7">
        <v>242575</v>
      </c>
      <c r="E537" s="24" t="s">
        <v>9</v>
      </c>
      <c r="F537" s="11" t="str">
        <f t="shared" si="58"/>
        <v>OK</v>
      </c>
      <c r="G537" s="11" t="str">
        <f>IF(COUNTIFS($A:$A,A537,$E:E,E537)&gt;1,"NOK","OK")</f>
        <v>OK</v>
      </c>
      <c r="H537" s="11" t="str">
        <f t="shared" si="59"/>
        <v>OK</v>
      </c>
      <c r="I537" s="11" t="str">
        <f t="shared" si="60"/>
        <v>OK</v>
      </c>
      <c r="J537" s="11" t="str">
        <f t="shared" si="61"/>
        <v>OK</v>
      </c>
      <c r="K537" s="11" t="str">
        <f t="shared" si="62"/>
        <v>OK</v>
      </c>
      <c r="R537" t="str">
        <f t="shared" si="63"/>
        <v>Keep</v>
      </c>
    </row>
    <row r="538" spans="1:18" ht="15">
      <c r="A538" s="23" t="s">
        <v>548</v>
      </c>
      <c r="B538" s="24" t="s">
        <v>7</v>
      </c>
      <c r="C538" s="24" t="s">
        <v>172</v>
      </c>
      <c r="D538" s="7">
        <v>219064</v>
      </c>
      <c r="E538" s="24" t="s">
        <v>12</v>
      </c>
      <c r="F538" s="11" t="str">
        <f t="shared" si="58"/>
        <v>OK</v>
      </c>
      <c r="G538" s="11" t="str">
        <f>IF(COUNTIFS($A:$A,A538,$E:E,E538)&gt;1,"NOK","OK")</f>
        <v>OK</v>
      </c>
      <c r="H538" s="11" t="str">
        <f t="shared" si="59"/>
        <v>OK</v>
      </c>
      <c r="I538" s="11" t="str">
        <f t="shared" si="60"/>
        <v>OK</v>
      </c>
      <c r="J538" s="11" t="str">
        <f t="shared" si="61"/>
        <v>OK</v>
      </c>
      <c r="K538" s="11" t="str">
        <f t="shared" si="62"/>
        <v>OK</v>
      </c>
      <c r="R538" t="str">
        <f t="shared" si="63"/>
        <v>Keep</v>
      </c>
    </row>
    <row r="539" spans="1:18" ht="15">
      <c r="A539" s="23" t="s">
        <v>549</v>
      </c>
      <c r="B539" s="24" t="s">
        <v>7</v>
      </c>
      <c r="C539" s="24" t="s">
        <v>172</v>
      </c>
      <c r="D539" s="7">
        <v>254320</v>
      </c>
      <c r="E539" s="24" t="s">
        <v>9</v>
      </c>
      <c r="F539" s="11" t="str">
        <f t="shared" si="58"/>
        <v>OK</v>
      </c>
      <c r="G539" s="11" t="str">
        <f>IF(COUNTIFS($A:$A,A539,$E:E,E539)&gt;1,"NOK","OK")</f>
        <v>OK</v>
      </c>
      <c r="H539" s="11" t="str">
        <f t="shared" si="59"/>
        <v>OK</v>
      </c>
      <c r="I539" s="11" t="str">
        <f t="shared" si="60"/>
        <v>OK</v>
      </c>
      <c r="J539" s="11" t="str">
        <f t="shared" si="61"/>
        <v>OK</v>
      </c>
      <c r="K539" s="11" t="str">
        <f t="shared" si="62"/>
        <v>OK</v>
      </c>
      <c r="R539" t="str">
        <f t="shared" si="63"/>
        <v>Keep</v>
      </c>
    </row>
    <row r="540" spans="1:18" ht="15">
      <c r="A540" s="23" t="s">
        <v>550</v>
      </c>
      <c r="B540" s="24" t="s">
        <v>7</v>
      </c>
      <c r="C540" s="24" t="s">
        <v>172</v>
      </c>
      <c r="D540" s="7">
        <v>176417</v>
      </c>
      <c r="E540" s="24" t="s">
        <v>9</v>
      </c>
      <c r="F540" s="11" t="str">
        <f t="shared" si="58"/>
        <v>OK</v>
      </c>
      <c r="G540" s="11" t="str">
        <f>IF(COUNTIFS($A:$A,A540,$E:E,E540)&gt;1,"NOK","OK")</f>
        <v>OK</v>
      </c>
      <c r="H540" s="11" t="str">
        <f t="shared" si="59"/>
        <v>OK</v>
      </c>
      <c r="I540" s="11" t="str">
        <f t="shared" si="60"/>
        <v>OK</v>
      </c>
      <c r="J540" s="11" t="str">
        <f t="shared" si="61"/>
        <v>OK</v>
      </c>
      <c r="K540" s="11" t="str">
        <f t="shared" si="62"/>
        <v>OK</v>
      </c>
      <c r="R540" t="str">
        <f t="shared" si="63"/>
        <v>Keep</v>
      </c>
    </row>
    <row r="541" spans="1:18" ht="15">
      <c r="A541" s="23" t="s">
        <v>551</v>
      </c>
      <c r="B541" s="24" t="s">
        <v>7</v>
      </c>
      <c r="C541" s="24" t="s">
        <v>172</v>
      </c>
      <c r="D541" s="7">
        <v>11362</v>
      </c>
      <c r="E541" s="24" t="s">
        <v>12</v>
      </c>
      <c r="F541" s="11" t="str">
        <f t="shared" si="58"/>
        <v>OK</v>
      </c>
      <c r="G541" s="11" t="str">
        <f>IF(COUNTIFS($A:$A,A541,$E:E,E541)&gt;1,"NOK","OK")</f>
        <v>OK</v>
      </c>
      <c r="H541" s="11" t="str">
        <f t="shared" si="59"/>
        <v>OK</v>
      </c>
      <c r="I541" s="11" t="str">
        <f t="shared" si="60"/>
        <v>OK</v>
      </c>
      <c r="J541" s="11" t="str">
        <f t="shared" si="61"/>
        <v>OK</v>
      </c>
      <c r="K541" s="11" t="str">
        <f t="shared" si="62"/>
        <v>OK</v>
      </c>
      <c r="R541" t="str">
        <f t="shared" si="63"/>
        <v>Keep</v>
      </c>
    </row>
    <row r="542" spans="1:18" ht="15">
      <c r="A542" s="23" t="s">
        <v>552</v>
      </c>
      <c r="B542" s="24" t="s">
        <v>7</v>
      </c>
      <c r="C542" s="24" t="s">
        <v>172</v>
      </c>
      <c r="D542" s="7">
        <v>137517</v>
      </c>
      <c r="E542" s="24" t="s">
        <v>12</v>
      </c>
      <c r="F542" s="11" t="str">
        <f t="shared" si="58"/>
        <v>OK</v>
      </c>
      <c r="G542" s="11" t="str">
        <f>IF(COUNTIFS($A:$A,A542,$E:E,E542)&gt;1,"NOK","OK")</f>
        <v>OK</v>
      </c>
      <c r="H542" s="11" t="str">
        <f t="shared" si="59"/>
        <v>OK</v>
      </c>
      <c r="I542" s="11" t="str">
        <f t="shared" si="60"/>
        <v>OK</v>
      </c>
      <c r="J542" s="11" t="str">
        <f t="shared" si="61"/>
        <v>OK</v>
      </c>
      <c r="K542" s="11" t="str">
        <f t="shared" si="62"/>
        <v>OK</v>
      </c>
      <c r="R542" t="str">
        <f t="shared" si="63"/>
        <v>Keep</v>
      </c>
    </row>
    <row r="543" spans="1:18" ht="15">
      <c r="A543" s="23" t="s">
        <v>553</v>
      </c>
      <c r="B543" s="24" t="s">
        <v>7</v>
      </c>
      <c r="C543" s="24" t="s">
        <v>172</v>
      </c>
      <c r="D543" s="7">
        <v>48991</v>
      </c>
      <c r="E543" s="24" t="s">
        <v>12</v>
      </c>
      <c r="F543" s="11" t="str">
        <f t="shared" si="58"/>
        <v>OK</v>
      </c>
      <c r="G543" s="11" t="str">
        <f>IF(COUNTIFS($A:$A,A543,$E:E,E543)&gt;1,"NOK","OK")</f>
        <v>OK</v>
      </c>
      <c r="H543" s="11" t="str">
        <f t="shared" si="59"/>
        <v>OK</v>
      </c>
      <c r="I543" s="11" t="str">
        <f t="shared" si="60"/>
        <v>OK</v>
      </c>
      <c r="J543" s="11" t="str">
        <f t="shared" si="61"/>
        <v>OK</v>
      </c>
      <c r="K543" s="11" t="str">
        <f t="shared" si="62"/>
        <v>OK</v>
      </c>
      <c r="R543" t="str">
        <f t="shared" si="63"/>
        <v>Keep</v>
      </c>
    </row>
    <row r="544" spans="1:18" ht="15">
      <c r="A544" s="23" t="s">
        <v>554</v>
      </c>
      <c r="B544" s="24" t="s">
        <v>11</v>
      </c>
      <c r="C544" s="24" t="s">
        <v>172</v>
      </c>
      <c r="D544" s="7">
        <v>51699</v>
      </c>
      <c r="E544" s="24" t="s">
        <v>12</v>
      </c>
      <c r="F544" s="11" t="str">
        <f t="shared" si="58"/>
        <v>OK</v>
      </c>
      <c r="G544" s="11" t="str">
        <f>IF(COUNTIFS($A:$A,A544,$E:E,E544)&gt;1,"NOK","OK")</f>
        <v>OK</v>
      </c>
      <c r="H544" s="11" t="str">
        <f t="shared" si="59"/>
        <v>OK</v>
      </c>
      <c r="I544" s="11" t="str">
        <f t="shared" si="60"/>
        <v>OK</v>
      </c>
      <c r="J544" s="11" t="str">
        <f t="shared" si="61"/>
        <v>OK</v>
      </c>
      <c r="K544" s="11" t="str">
        <f t="shared" si="62"/>
        <v>OK</v>
      </c>
      <c r="R544" t="str">
        <f t="shared" si="63"/>
        <v>Keep</v>
      </c>
    </row>
    <row r="545" spans="1:18" ht="15">
      <c r="A545" s="23" t="s">
        <v>555</v>
      </c>
      <c r="B545" s="24" t="s">
        <v>11</v>
      </c>
      <c r="C545" s="24" t="s">
        <v>172</v>
      </c>
      <c r="D545" s="7">
        <v>286557</v>
      </c>
      <c r="E545" s="24" t="s">
        <v>12</v>
      </c>
      <c r="F545" s="11" t="str">
        <f t="shared" si="58"/>
        <v>OK</v>
      </c>
      <c r="G545" s="11" t="str">
        <f>IF(COUNTIFS($A:$A,A545,$E:E,E545)&gt;1,"NOK","OK")</f>
        <v>OK</v>
      </c>
      <c r="H545" s="11" t="str">
        <f t="shared" si="59"/>
        <v>OK</v>
      </c>
      <c r="I545" s="11" t="str">
        <f t="shared" si="60"/>
        <v>OK</v>
      </c>
      <c r="J545" s="11" t="str">
        <f t="shared" si="61"/>
        <v>OK</v>
      </c>
      <c r="K545" s="11" t="str">
        <f t="shared" si="62"/>
        <v>OK</v>
      </c>
      <c r="R545" t="str">
        <f t="shared" si="63"/>
        <v>Keep</v>
      </c>
    </row>
    <row r="546" spans="1:18" ht="15">
      <c r="A546" s="23" t="s">
        <v>556</v>
      </c>
      <c r="B546" s="24" t="s">
        <v>7</v>
      </c>
      <c r="C546" s="24" t="s">
        <v>172</v>
      </c>
      <c r="D546" s="7">
        <v>44429</v>
      </c>
      <c r="E546" s="24" t="s">
        <v>16</v>
      </c>
      <c r="F546" s="11" t="str">
        <f t="shared" si="58"/>
        <v>OK</v>
      </c>
      <c r="G546" s="11" t="str">
        <f>IF(COUNTIFS($A:$A,A546,$E:E,E546)&gt;1,"NOK","OK")</f>
        <v>OK</v>
      </c>
      <c r="H546" s="11" t="str">
        <f t="shared" si="59"/>
        <v>OK</v>
      </c>
      <c r="I546" s="11" t="str">
        <f t="shared" si="60"/>
        <v>OK</v>
      </c>
      <c r="J546" s="11" t="str">
        <f t="shared" si="61"/>
        <v>OK</v>
      </c>
      <c r="K546" s="11" t="str">
        <f t="shared" si="62"/>
        <v>OK</v>
      </c>
      <c r="R546" t="str">
        <f t="shared" si="63"/>
        <v>Keep</v>
      </c>
    </row>
    <row r="547" spans="1:18" ht="15">
      <c r="A547" s="23" t="s">
        <v>557</v>
      </c>
      <c r="B547" s="24" t="s">
        <v>7</v>
      </c>
      <c r="C547" s="24" t="s">
        <v>172</v>
      </c>
      <c r="D547" s="7">
        <v>44939</v>
      </c>
      <c r="E547" s="24" t="s">
        <v>12</v>
      </c>
      <c r="F547" s="11" t="str">
        <f t="shared" si="58"/>
        <v>OK</v>
      </c>
      <c r="G547" s="11" t="str">
        <f>IF(COUNTIFS($A:$A,A547,$E:E,E547)&gt;1,"NOK","OK")</f>
        <v>OK</v>
      </c>
      <c r="H547" s="11" t="str">
        <f t="shared" si="59"/>
        <v>OK</v>
      </c>
      <c r="I547" s="11" t="str">
        <f t="shared" si="60"/>
        <v>OK</v>
      </c>
      <c r="J547" s="11" t="str">
        <f t="shared" si="61"/>
        <v>OK</v>
      </c>
      <c r="K547" s="11" t="str">
        <f t="shared" si="62"/>
        <v>OK</v>
      </c>
      <c r="R547" t="str">
        <f t="shared" si="63"/>
        <v>Keep</v>
      </c>
    </row>
    <row r="548" spans="1:18" ht="15">
      <c r="A548" s="23" t="s">
        <v>558</v>
      </c>
      <c r="B548" s="24" t="s">
        <v>11</v>
      </c>
      <c r="C548" s="24" t="s">
        <v>172</v>
      </c>
      <c r="D548" s="7">
        <v>187140</v>
      </c>
      <c r="E548" s="24" t="s">
        <v>16</v>
      </c>
      <c r="F548" s="11" t="str">
        <f t="shared" si="58"/>
        <v>OK</v>
      </c>
      <c r="G548" s="11" t="str">
        <f>IF(COUNTIFS($A:$A,A548,$E:E,E548)&gt;1,"NOK","OK")</f>
        <v>OK</v>
      </c>
      <c r="H548" s="11" t="str">
        <f t="shared" si="59"/>
        <v>OK</v>
      </c>
      <c r="I548" s="11" t="str">
        <f t="shared" si="60"/>
        <v>OK</v>
      </c>
      <c r="J548" s="11" t="str">
        <f t="shared" si="61"/>
        <v>OK</v>
      </c>
      <c r="K548" s="11" t="str">
        <f t="shared" si="62"/>
        <v>OK</v>
      </c>
      <c r="R548" t="str">
        <f t="shared" si="63"/>
        <v>Keep</v>
      </c>
    </row>
    <row r="549" spans="1:18" ht="15">
      <c r="A549" s="23" t="s">
        <v>559</v>
      </c>
      <c r="B549" s="24" t="s">
        <v>7</v>
      </c>
      <c r="C549" s="24" t="s">
        <v>172</v>
      </c>
      <c r="D549" s="7">
        <v>280366</v>
      </c>
      <c r="E549" s="24" t="s">
        <v>12</v>
      </c>
      <c r="F549" s="11" t="str">
        <f t="shared" si="58"/>
        <v>OK</v>
      </c>
      <c r="G549" s="11" t="str">
        <f>IF(COUNTIFS($A:$A,A549,$E:E,E549)&gt;1,"NOK","OK")</f>
        <v>OK</v>
      </c>
      <c r="H549" s="11" t="str">
        <f t="shared" si="59"/>
        <v>OK</v>
      </c>
      <c r="I549" s="11" t="str">
        <f t="shared" si="60"/>
        <v>OK</v>
      </c>
      <c r="J549" s="11" t="str">
        <f t="shared" si="61"/>
        <v>OK</v>
      </c>
      <c r="K549" s="11" t="str">
        <f t="shared" si="62"/>
        <v>OK</v>
      </c>
      <c r="R549" t="str">
        <f t="shared" si="63"/>
        <v>Keep</v>
      </c>
    </row>
    <row r="550" spans="1:18" ht="15">
      <c r="A550" s="23" t="s">
        <v>560</v>
      </c>
      <c r="B550" s="24" t="s">
        <v>7</v>
      </c>
      <c r="C550" s="24" t="s">
        <v>172</v>
      </c>
      <c r="D550" s="7">
        <v>112605</v>
      </c>
      <c r="E550" s="24" t="s">
        <v>9</v>
      </c>
      <c r="F550" s="11" t="str">
        <f t="shared" si="58"/>
        <v>OK</v>
      </c>
      <c r="G550" s="11" t="str">
        <f>IF(COUNTIFS($A:$A,A550,$E:E,E550)&gt;1,"NOK","OK")</f>
        <v>OK</v>
      </c>
      <c r="H550" s="11" t="str">
        <f t="shared" si="59"/>
        <v>OK</v>
      </c>
      <c r="I550" s="11" t="str">
        <f t="shared" si="60"/>
        <v>OK</v>
      </c>
      <c r="J550" s="11" t="str">
        <f t="shared" si="61"/>
        <v>OK</v>
      </c>
      <c r="K550" s="11" t="str">
        <f t="shared" si="62"/>
        <v>OK</v>
      </c>
      <c r="R550" t="str">
        <f t="shared" si="63"/>
        <v>Keep</v>
      </c>
    </row>
    <row r="551" spans="1:18" ht="15">
      <c r="A551" s="23" t="s">
        <v>561</v>
      </c>
      <c r="B551" s="24" t="s">
        <v>7</v>
      </c>
      <c r="C551" s="24" t="s">
        <v>172</v>
      </c>
      <c r="D551" s="7">
        <v>285963</v>
      </c>
      <c r="E551" s="24" t="s">
        <v>9</v>
      </c>
      <c r="F551" s="11" t="str">
        <f t="shared" si="58"/>
        <v>OK</v>
      </c>
      <c r="G551" s="11" t="str">
        <f>IF(COUNTIFS($A:$A,A551,$E:E,E551)&gt;1,"NOK","OK")</f>
        <v>OK</v>
      </c>
      <c r="H551" s="11" t="str">
        <f t="shared" si="59"/>
        <v>OK</v>
      </c>
      <c r="I551" s="11" t="str">
        <f t="shared" si="60"/>
        <v>OK</v>
      </c>
      <c r="J551" s="11" t="str">
        <f t="shared" si="61"/>
        <v>OK</v>
      </c>
      <c r="K551" s="11" t="str">
        <f t="shared" si="62"/>
        <v>OK</v>
      </c>
      <c r="R551" t="str">
        <f t="shared" si="63"/>
        <v>Keep</v>
      </c>
    </row>
    <row r="552" spans="1:18" ht="15">
      <c r="A552" s="23" t="s">
        <v>562</v>
      </c>
      <c r="B552" s="24" t="s">
        <v>7</v>
      </c>
      <c r="C552" s="24" t="s">
        <v>172</v>
      </c>
      <c r="D552" s="7">
        <v>1678</v>
      </c>
      <c r="E552" s="24" t="s">
        <v>16</v>
      </c>
      <c r="F552" s="11" t="str">
        <f t="shared" si="58"/>
        <v>OK</v>
      </c>
      <c r="G552" s="11" t="str">
        <f>IF(COUNTIFS($A:$A,A552,$E:E,E552)&gt;1,"NOK","OK")</f>
        <v>OK</v>
      </c>
      <c r="H552" s="11" t="str">
        <f t="shared" si="59"/>
        <v>OK</v>
      </c>
      <c r="I552" s="11" t="str">
        <f t="shared" si="60"/>
        <v>OK</v>
      </c>
      <c r="J552" s="11" t="str">
        <f t="shared" si="61"/>
        <v>OK</v>
      </c>
      <c r="K552" s="11" t="str">
        <f t="shared" si="62"/>
        <v>OK</v>
      </c>
      <c r="R552" t="str">
        <f t="shared" si="63"/>
        <v>Keep</v>
      </c>
    </row>
    <row r="553" spans="1:18" ht="15">
      <c r="A553" s="23" t="s">
        <v>563</v>
      </c>
      <c r="B553" s="24" t="s">
        <v>7</v>
      </c>
      <c r="C553" s="24" t="s">
        <v>172</v>
      </c>
      <c r="D553" s="7">
        <v>266963</v>
      </c>
      <c r="E553" s="24" t="s">
        <v>9</v>
      </c>
      <c r="F553" s="11" t="str">
        <f t="shared" si="58"/>
        <v>OK</v>
      </c>
      <c r="G553" s="11" t="str">
        <f>IF(COUNTIFS($A:$A,A553,$E:E,E553)&gt;1,"NOK","OK")</f>
        <v>OK</v>
      </c>
      <c r="H553" s="11" t="str">
        <f t="shared" si="59"/>
        <v>OK</v>
      </c>
      <c r="I553" s="11" t="str">
        <f t="shared" si="60"/>
        <v>OK</v>
      </c>
      <c r="J553" s="11" t="str">
        <f t="shared" si="61"/>
        <v>OK</v>
      </c>
      <c r="K553" s="11" t="str">
        <f t="shared" si="62"/>
        <v>OK</v>
      </c>
      <c r="R553" t="str">
        <f t="shared" si="63"/>
        <v>Keep</v>
      </c>
    </row>
    <row r="554" spans="1:18" ht="15">
      <c r="A554" s="23" t="s">
        <v>564</v>
      </c>
      <c r="B554" s="24" t="s">
        <v>7</v>
      </c>
      <c r="C554" s="24" t="s">
        <v>172</v>
      </c>
      <c r="D554" s="7">
        <v>220443</v>
      </c>
      <c r="E554" s="24" t="s">
        <v>16</v>
      </c>
      <c r="F554" s="11" t="str">
        <f t="shared" si="58"/>
        <v>OK</v>
      </c>
      <c r="G554" s="11" t="str">
        <f>IF(COUNTIFS($A:$A,A554,$E:E,E554)&gt;1,"NOK","OK")</f>
        <v>OK</v>
      </c>
      <c r="H554" s="11" t="str">
        <f t="shared" si="59"/>
        <v>OK</v>
      </c>
      <c r="I554" s="11" t="str">
        <f t="shared" si="60"/>
        <v>OK</v>
      </c>
      <c r="J554" s="11" t="str">
        <f t="shared" si="61"/>
        <v>OK</v>
      </c>
      <c r="K554" s="11" t="str">
        <f t="shared" si="62"/>
        <v>OK</v>
      </c>
      <c r="R554" t="str">
        <f t="shared" si="63"/>
        <v>Keep</v>
      </c>
    </row>
    <row r="555" spans="1:18" ht="15">
      <c r="A555" s="23" t="s">
        <v>565</v>
      </c>
      <c r="B555" s="24" t="s">
        <v>7</v>
      </c>
      <c r="C555" s="24" t="s">
        <v>172</v>
      </c>
      <c r="D555" s="7">
        <v>259607</v>
      </c>
      <c r="E555" s="24" t="s">
        <v>12</v>
      </c>
      <c r="F555" s="11" t="str">
        <f t="shared" si="58"/>
        <v>OK</v>
      </c>
      <c r="G555" s="11" t="str">
        <f>IF(COUNTIFS($A:$A,A555,$E:E,E555)&gt;1,"NOK","OK")</f>
        <v>OK</v>
      </c>
      <c r="H555" s="11" t="str">
        <f t="shared" si="59"/>
        <v>OK</v>
      </c>
      <c r="I555" s="11" t="str">
        <f t="shared" si="60"/>
        <v>OK</v>
      </c>
      <c r="J555" s="11" t="str">
        <f t="shared" si="61"/>
        <v>OK</v>
      </c>
      <c r="K555" s="11" t="str">
        <f t="shared" si="62"/>
        <v>OK</v>
      </c>
      <c r="R555" t="str">
        <f t="shared" si="63"/>
        <v>Keep</v>
      </c>
    </row>
    <row r="556" spans="1:18" ht="15">
      <c r="A556" s="23" t="s">
        <v>566</v>
      </c>
      <c r="B556" s="24" t="s">
        <v>11</v>
      </c>
      <c r="C556" s="24" t="s">
        <v>172</v>
      </c>
      <c r="D556" s="7">
        <v>188862</v>
      </c>
      <c r="E556" s="24" t="s">
        <v>12</v>
      </c>
      <c r="F556" s="11" t="str">
        <f t="shared" si="58"/>
        <v>OK</v>
      </c>
      <c r="G556" s="11" t="str">
        <f>IF(COUNTIFS($A:$A,A556,$E:E,E556)&gt;1,"NOK","OK")</f>
        <v>OK</v>
      </c>
      <c r="H556" s="11" t="str">
        <f t="shared" si="59"/>
        <v>OK</v>
      </c>
      <c r="I556" s="11" t="str">
        <f t="shared" si="60"/>
        <v>OK</v>
      </c>
      <c r="J556" s="11" t="str">
        <f t="shared" si="61"/>
        <v>OK</v>
      </c>
      <c r="K556" s="11" t="str">
        <f t="shared" si="62"/>
        <v>OK</v>
      </c>
      <c r="R556" t="str">
        <f t="shared" si="63"/>
        <v>Keep</v>
      </c>
    </row>
    <row r="557" spans="1:18" ht="15">
      <c r="A557" s="23" t="s">
        <v>567</v>
      </c>
      <c r="B557" s="24" t="s">
        <v>7</v>
      </c>
      <c r="C557" s="24" t="s">
        <v>172</v>
      </c>
      <c r="D557" s="7">
        <v>68818</v>
      </c>
      <c r="E557" s="24" t="s">
        <v>9</v>
      </c>
      <c r="F557" s="11" t="str">
        <f t="shared" si="58"/>
        <v>OK</v>
      </c>
      <c r="G557" s="11" t="str">
        <f>IF(COUNTIFS($A:$A,A557,$E:E,E557)&gt;1,"NOK","OK")</f>
        <v>OK</v>
      </c>
      <c r="H557" s="11" t="str">
        <f t="shared" si="59"/>
        <v>OK</v>
      </c>
      <c r="I557" s="11" t="str">
        <f t="shared" si="60"/>
        <v>OK</v>
      </c>
      <c r="J557" s="11" t="str">
        <f t="shared" si="61"/>
        <v>OK</v>
      </c>
      <c r="K557" s="11" t="str">
        <f t="shared" si="62"/>
        <v>OK</v>
      </c>
      <c r="R557" t="str">
        <f t="shared" si="63"/>
        <v>Keep</v>
      </c>
    </row>
    <row r="558" spans="1:18" ht="15">
      <c r="A558" s="23" t="s">
        <v>568</v>
      </c>
      <c r="B558" s="24" t="s">
        <v>11</v>
      </c>
      <c r="C558" s="24" t="s">
        <v>172</v>
      </c>
      <c r="D558" s="7">
        <v>233962</v>
      </c>
      <c r="E558" s="24" t="s">
        <v>9</v>
      </c>
      <c r="F558" s="11" t="str">
        <f t="shared" si="58"/>
        <v>OK</v>
      </c>
      <c r="G558" s="11" t="str">
        <f>IF(COUNTIFS($A:$A,A558,$E:E,E558)&gt;1,"NOK","OK")</f>
        <v>OK</v>
      </c>
      <c r="H558" s="11" t="str">
        <f t="shared" si="59"/>
        <v>OK</v>
      </c>
      <c r="I558" s="11" t="str">
        <f t="shared" si="60"/>
        <v>OK</v>
      </c>
      <c r="J558" s="11" t="str">
        <f t="shared" si="61"/>
        <v>OK</v>
      </c>
      <c r="K558" s="11" t="str">
        <f t="shared" si="62"/>
        <v>OK</v>
      </c>
      <c r="R558" t="str">
        <f t="shared" si="63"/>
        <v>Keep</v>
      </c>
    </row>
    <row r="559" spans="1:18" ht="15">
      <c r="A559" s="23" t="s">
        <v>569</v>
      </c>
      <c r="B559" s="24" t="s">
        <v>11</v>
      </c>
      <c r="C559" s="24" t="s">
        <v>172</v>
      </c>
      <c r="D559" s="7">
        <v>200068</v>
      </c>
      <c r="E559" s="24" t="s">
        <v>12</v>
      </c>
      <c r="F559" s="11" t="str">
        <f t="shared" si="58"/>
        <v>OK</v>
      </c>
      <c r="G559" s="11" t="str">
        <f>IF(COUNTIFS($A:$A,A559,$E:E,E559)&gt;1,"NOK","OK")</f>
        <v>OK</v>
      </c>
      <c r="H559" s="11" t="str">
        <f t="shared" si="59"/>
        <v>OK</v>
      </c>
      <c r="I559" s="11" t="str">
        <f t="shared" si="60"/>
        <v>OK</v>
      </c>
      <c r="J559" s="11" t="str">
        <f t="shared" si="61"/>
        <v>OK</v>
      </c>
      <c r="K559" s="11" t="str">
        <f t="shared" si="62"/>
        <v>OK</v>
      </c>
      <c r="R559" t="str">
        <f t="shared" si="63"/>
        <v>Keep</v>
      </c>
    </row>
    <row r="560" spans="1:18" ht="15">
      <c r="A560" s="23" t="s">
        <v>570</v>
      </c>
      <c r="B560" s="24" t="s">
        <v>7</v>
      </c>
      <c r="C560" s="24" t="s">
        <v>172</v>
      </c>
      <c r="D560" s="7">
        <v>204309</v>
      </c>
      <c r="E560" s="24" t="s">
        <v>12</v>
      </c>
      <c r="F560" s="11" t="str">
        <f t="shared" si="58"/>
        <v>OK</v>
      </c>
      <c r="G560" s="11" t="str">
        <f>IF(COUNTIFS($A:$A,A560,$E:E,E560)&gt;1,"NOK","OK")</f>
        <v>OK</v>
      </c>
      <c r="H560" s="11" t="str">
        <f t="shared" si="59"/>
        <v>OK</v>
      </c>
      <c r="I560" s="11" t="str">
        <f t="shared" si="60"/>
        <v>OK</v>
      </c>
      <c r="J560" s="11" t="str">
        <f t="shared" si="61"/>
        <v>OK</v>
      </c>
      <c r="K560" s="11" t="str">
        <f t="shared" si="62"/>
        <v>OK</v>
      </c>
      <c r="R560" t="str">
        <f t="shared" si="63"/>
        <v>Keep</v>
      </c>
    </row>
    <row r="561" spans="1:18" ht="15">
      <c r="A561" s="23" t="s">
        <v>571</v>
      </c>
      <c r="B561" s="24" t="s">
        <v>7</v>
      </c>
      <c r="C561" s="24" t="s">
        <v>172</v>
      </c>
      <c r="D561" s="7">
        <v>9668</v>
      </c>
      <c r="E561" s="24" t="s">
        <v>16</v>
      </c>
      <c r="F561" s="11" t="str">
        <f t="shared" si="58"/>
        <v>OK</v>
      </c>
      <c r="G561" s="11" t="str">
        <f>IF(COUNTIFS($A:$A,A561,$E:E,E561)&gt;1,"NOK","OK")</f>
        <v>OK</v>
      </c>
      <c r="H561" s="11" t="str">
        <f t="shared" si="59"/>
        <v>OK</v>
      </c>
      <c r="I561" s="11" t="str">
        <f t="shared" si="60"/>
        <v>OK</v>
      </c>
      <c r="J561" s="11" t="str">
        <f t="shared" si="61"/>
        <v>OK</v>
      </c>
      <c r="K561" s="11" t="str">
        <f t="shared" si="62"/>
        <v>OK</v>
      </c>
      <c r="R561" t="str">
        <f t="shared" si="63"/>
        <v>Keep</v>
      </c>
    </row>
    <row r="562" spans="1:18" ht="15">
      <c r="A562" s="23" t="s">
        <v>572</v>
      </c>
      <c r="B562" s="24" t="s">
        <v>25</v>
      </c>
      <c r="C562" s="24" t="s">
        <v>172</v>
      </c>
      <c r="D562" s="7">
        <v>15948</v>
      </c>
      <c r="E562" s="24" t="s">
        <v>12</v>
      </c>
      <c r="F562" s="11" t="str">
        <f t="shared" si="58"/>
        <v>OK</v>
      </c>
      <c r="G562" s="11" t="str">
        <f>IF(COUNTIFS($A:$A,A562,$E:E,E562)&gt;1,"NOK","OK")</f>
        <v>OK</v>
      </c>
      <c r="H562" s="11" t="str">
        <f t="shared" si="59"/>
        <v>OK</v>
      </c>
      <c r="I562" s="11" t="str">
        <f t="shared" si="60"/>
        <v>OK</v>
      </c>
      <c r="J562" s="11" t="str">
        <f t="shared" si="61"/>
        <v>OK</v>
      </c>
      <c r="K562" s="11" t="str">
        <f t="shared" si="62"/>
        <v>OK</v>
      </c>
      <c r="R562" t="str">
        <f t="shared" si="63"/>
        <v>Keep</v>
      </c>
    </row>
    <row r="563" spans="1:18" ht="15">
      <c r="A563" s="23" t="s">
        <v>573</v>
      </c>
      <c r="B563" s="24" t="s">
        <v>7</v>
      </c>
      <c r="C563" s="24" t="s">
        <v>172</v>
      </c>
      <c r="D563" s="7">
        <v>221482</v>
      </c>
      <c r="E563" s="24" t="s">
        <v>9</v>
      </c>
      <c r="F563" s="11" t="str">
        <f t="shared" si="58"/>
        <v>OK</v>
      </c>
      <c r="G563" s="11" t="str">
        <f>IF(COUNTIFS($A:$A,A563,$E:E,E563)&gt;1,"NOK","OK")</f>
        <v>OK</v>
      </c>
      <c r="H563" s="11" t="str">
        <f t="shared" si="59"/>
        <v>OK</v>
      </c>
      <c r="I563" s="11" t="str">
        <f t="shared" si="60"/>
        <v>OK</v>
      </c>
      <c r="J563" s="11" t="str">
        <f t="shared" si="61"/>
        <v>OK</v>
      </c>
      <c r="K563" s="11" t="str">
        <f t="shared" si="62"/>
        <v>OK</v>
      </c>
      <c r="R563" t="str">
        <f t="shared" si="63"/>
        <v>Keep</v>
      </c>
    </row>
    <row r="564" spans="1:18" ht="15">
      <c r="A564" s="23" t="s">
        <v>574</v>
      </c>
      <c r="B564" s="24" t="s">
        <v>7</v>
      </c>
      <c r="C564" s="24" t="s">
        <v>172</v>
      </c>
      <c r="D564" s="7">
        <v>91869</v>
      </c>
      <c r="E564" s="24" t="s">
        <v>16</v>
      </c>
      <c r="F564" s="11" t="str">
        <f t="shared" si="58"/>
        <v>OK</v>
      </c>
      <c r="G564" s="11" t="str">
        <f>IF(COUNTIFS($A:$A,A564,$E:E,E564)&gt;1,"NOK","OK")</f>
        <v>OK</v>
      </c>
      <c r="H564" s="11" t="str">
        <f t="shared" si="59"/>
        <v>OK</v>
      </c>
      <c r="I564" s="11" t="str">
        <f t="shared" si="60"/>
        <v>OK</v>
      </c>
      <c r="J564" s="11" t="str">
        <f t="shared" si="61"/>
        <v>OK</v>
      </c>
      <c r="K564" s="11" t="str">
        <f t="shared" si="62"/>
        <v>OK</v>
      </c>
      <c r="R564" t="str">
        <f t="shared" si="63"/>
        <v>Keep</v>
      </c>
    </row>
    <row r="565" spans="1:18" ht="15">
      <c r="A565" s="23" t="s">
        <v>575</v>
      </c>
      <c r="B565" s="24" t="s">
        <v>11</v>
      </c>
      <c r="C565" s="24" t="s">
        <v>172</v>
      </c>
      <c r="D565" s="7">
        <v>131480</v>
      </c>
      <c r="E565" s="24" t="s">
        <v>16</v>
      </c>
      <c r="F565" s="11" t="str">
        <f t="shared" si="58"/>
        <v>OK</v>
      </c>
      <c r="G565" s="11" t="str">
        <f>IF(COUNTIFS($A:$A,A565,$E:E,E565)&gt;1,"NOK","OK")</f>
        <v>OK</v>
      </c>
      <c r="H565" s="11" t="str">
        <f t="shared" si="59"/>
        <v>OK</v>
      </c>
      <c r="I565" s="11" t="str">
        <f t="shared" si="60"/>
        <v>OK</v>
      </c>
      <c r="J565" s="11" t="str">
        <f t="shared" si="61"/>
        <v>OK</v>
      </c>
      <c r="K565" s="11" t="str">
        <f t="shared" si="62"/>
        <v>OK</v>
      </c>
      <c r="R565" t="str">
        <f t="shared" si="63"/>
        <v>Keep</v>
      </c>
    </row>
    <row r="566" spans="1:18" ht="15">
      <c r="A566" s="23" t="s">
        <v>576</v>
      </c>
      <c r="B566" s="24" t="s">
        <v>7</v>
      </c>
      <c r="C566" s="24" t="s">
        <v>172</v>
      </c>
      <c r="D566" s="7">
        <v>162138</v>
      </c>
      <c r="E566" s="24" t="s">
        <v>9</v>
      </c>
      <c r="F566" s="11" t="str">
        <f t="shared" si="58"/>
        <v>OK</v>
      </c>
      <c r="G566" s="11" t="str">
        <f>IF(COUNTIFS($A:$A,A566,$E:E,E566)&gt;1,"NOK","OK")</f>
        <v>OK</v>
      </c>
      <c r="H566" s="11" t="str">
        <f t="shared" si="59"/>
        <v>OK</v>
      </c>
      <c r="I566" s="11" t="str">
        <f t="shared" si="60"/>
        <v>OK</v>
      </c>
      <c r="J566" s="11" t="str">
        <f t="shared" si="61"/>
        <v>OK</v>
      </c>
      <c r="K566" s="11" t="str">
        <f t="shared" si="62"/>
        <v>OK</v>
      </c>
      <c r="R566" t="str">
        <f t="shared" si="63"/>
        <v>Keep</v>
      </c>
    </row>
    <row r="567" spans="1:18" ht="15">
      <c r="A567" s="23" t="s">
        <v>577</v>
      </c>
      <c r="B567" s="24" t="s">
        <v>7</v>
      </c>
      <c r="C567" s="24" t="s">
        <v>172</v>
      </c>
      <c r="D567" s="7">
        <v>243311</v>
      </c>
      <c r="E567" s="24" t="s">
        <v>16</v>
      </c>
      <c r="F567" s="11" t="str">
        <f t="shared" si="58"/>
        <v>OK</v>
      </c>
      <c r="G567" s="11" t="str">
        <f>IF(COUNTIFS($A:$A,A567,$E:E,E567)&gt;1,"NOK","OK")</f>
        <v>OK</v>
      </c>
      <c r="H567" s="11" t="str">
        <f t="shared" si="59"/>
        <v>OK</v>
      </c>
      <c r="I567" s="11" t="str">
        <f t="shared" si="60"/>
        <v>OK</v>
      </c>
      <c r="J567" s="11" t="str">
        <f t="shared" si="61"/>
        <v>OK</v>
      </c>
      <c r="K567" s="11" t="str">
        <f t="shared" si="62"/>
        <v>OK</v>
      </c>
      <c r="R567" t="str">
        <f t="shared" si="63"/>
        <v>Keep</v>
      </c>
    </row>
    <row r="568" spans="1:18" ht="15">
      <c r="A568" s="23" t="s">
        <v>578</v>
      </c>
      <c r="B568" s="24" t="s">
        <v>7</v>
      </c>
      <c r="C568" s="24" t="s">
        <v>172</v>
      </c>
      <c r="D568" s="7">
        <v>85907</v>
      </c>
      <c r="E568" s="24" t="s">
        <v>12</v>
      </c>
      <c r="F568" s="11" t="str">
        <f t="shared" si="58"/>
        <v>OK</v>
      </c>
      <c r="G568" s="11" t="str">
        <f>IF(COUNTIFS($A:$A,A568,$E:E,E568)&gt;1,"NOK","OK")</f>
        <v>OK</v>
      </c>
      <c r="H568" s="11" t="str">
        <f t="shared" si="59"/>
        <v>OK</v>
      </c>
      <c r="I568" s="11" t="str">
        <f t="shared" si="60"/>
        <v>OK</v>
      </c>
      <c r="J568" s="11" t="str">
        <f t="shared" si="61"/>
        <v>OK</v>
      </c>
      <c r="K568" s="11" t="str">
        <f t="shared" si="62"/>
        <v>OK</v>
      </c>
      <c r="R568" t="str">
        <f t="shared" si="63"/>
        <v>Keep</v>
      </c>
    </row>
    <row r="569" spans="1:18" ht="15">
      <c r="A569" s="23" t="s">
        <v>579</v>
      </c>
      <c r="B569" s="24" t="s">
        <v>11</v>
      </c>
      <c r="C569" s="24" t="s">
        <v>172</v>
      </c>
      <c r="D569" s="7">
        <v>144513</v>
      </c>
      <c r="E569" s="24" t="s">
        <v>9</v>
      </c>
      <c r="F569" s="11" t="str">
        <f t="shared" si="58"/>
        <v>OK</v>
      </c>
      <c r="G569" s="11" t="str">
        <f>IF(COUNTIFS($A:$A,A569,$E:E,E569)&gt;1,"NOK","OK")</f>
        <v>OK</v>
      </c>
      <c r="H569" s="11" t="str">
        <f t="shared" si="59"/>
        <v>OK</v>
      </c>
      <c r="I569" s="11" t="str">
        <f t="shared" si="60"/>
        <v>OK</v>
      </c>
      <c r="J569" s="11" t="str">
        <f t="shared" si="61"/>
        <v>OK</v>
      </c>
      <c r="K569" s="11" t="str">
        <f t="shared" si="62"/>
        <v>OK</v>
      </c>
      <c r="R569" t="str">
        <f t="shared" si="63"/>
        <v>Keep</v>
      </c>
    </row>
    <row r="570" spans="1:18" ht="15">
      <c r="A570" s="23" t="s">
        <v>580</v>
      </c>
      <c r="B570" s="24" t="s">
        <v>7</v>
      </c>
      <c r="C570" s="24" t="s">
        <v>172</v>
      </c>
      <c r="D570" s="7">
        <v>151028</v>
      </c>
      <c r="E570" s="24" t="s">
        <v>9</v>
      </c>
      <c r="F570" s="11" t="str">
        <f t="shared" si="58"/>
        <v>OK</v>
      </c>
      <c r="G570" s="11" t="str">
        <f>IF(COUNTIFS($A:$A,A570,$E:E,E570)&gt;1,"NOK","OK")</f>
        <v>OK</v>
      </c>
      <c r="H570" s="11" t="str">
        <f t="shared" si="59"/>
        <v>OK</v>
      </c>
      <c r="I570" s="11" t="str">
        <f t="shared" si="60"/>
        <v>OK</v>
      </c>
      <c r="J570" s="11" t="str">
        <f t="shared" si="61"/>
        <v>OK</v>
      </c>
      <c r="K570" s="11" t="str">
        <f t="shared" si="62"/>
        <v>OK</v>
      </c>
      <c r="R570" t="str">
        <f t="shared" si="63"/>
        <v>Keep</v>
      </c>
    </row>
    <row r="571" spans="1:18" ht="15">
      <c r="A571" s="23" t="s">
        <v>581</v>
      </c>
      <c r="B571" s="24" t="s">
        <v>11</v>
      </c>
      <c r="C571" s="24" t="s">
        <v>172</v>
      </c>
      <c r="D571" s="7">
        <v>14804</v>
      </c>
      <c r="E571" s="24" t="s">
        <v>12</v>
      </c>
      <c r="F571" s="11" t="str">
        <f t="shared" si="58"/>
        <v>OK</v>
      </c>
      <c r="G571" s="11" t="str">
        <f>IF(COUNTIFS($A:$A,A571,$E:E,E571)&gt;1,"NOK","OK")</f>
        <v>OK</v>
      </c>
      <c r="H571" s="11" t="str">
        <f t="shared" si="59"/>
        <v>OK</v>
      </c>
      <c r="I571" s="11" t="str">
        <f t="shared" si="60"/>
        <v>OK</v>
      </c>
      <c r="J571" s="11" t="str">
        <f t="shared" si="61"/>
        <v>OK</v>
      </c>
      <c r="K571" s="11" t="str">
        <f t="shared" si="62"/>
        <v>OK</v>
      </c>
      <c r="R571" t="str">
        <f t="shared" si="63"/>
        <v>Keep</v>
      </c>
    </row>
    <row r="572" spans="1:18" ht="15">
      <c r="A572" s="23" t="s">
        <v>582</v>
      </c>
      <c r="B572" s="24" t="s">
        <v>7</v>
      </c>
      <c r="C572" s="24" t="s">
        <v>172</v>
      </c>
      <c r="D572" s="7">
        <v>224643</v>
      </c>
      <c r="E572" s="24" t="s">
        <v>12</v>
      </c>
      <c r="F572" s="11" t="str">
        <f t="shared" si="58"/>
        <v>OK</v>
      </c>
      <c r="G572" s="11" t="str">
        <f>IF(COUNTIFS($A:$A,A572,$E:E,E572)&gt;1,"NOK","OK")</f>
        <v>OK</v>
      </c>
      <c r="H572" s="11" t="str">
        <f t="shared" si="59"/>
        <v>OK</v>
      </c>
      <c r="I572" s="11" t="str">
        <f t="shared" si="60"/>
        <v>OK</v>
      </c>
      <c r="J572" s="11" t="str">
        <f t="shared" si="61"/>
        <v>OK</v>
      </c>
      <c r="K572" s="11" t="str">
        <f t="shared" si="62"/>
        <v>OK</v>
      </c>
      <c r="R572" t="str">
        <f t="shared" si="63"/>
        <v>Keep</v>
      </c>
    </row>
    <row r="573" spans="1:18" ht="15">
      <c r="A573" s="23" t="s">
        <v>583</v>
      </c>
      <c r="B573" s="24" t="s">
        <v>7</v>
      </c>
      <c r="C573" s="24" t="s">
        <v>172</v>
      </c>
      <c r="D573" s="7">
        <v>73251</v>
      </c>
      <c r="E573" s="24" t="s">
        <v>12</v>
      </c>
      <c r="F573" s="11" t="str">
        <f t="shared" si="58"/>
        <v>OK</v>
      </c>
      <c r="G573" s="11" t="str">
        <f>IF(COUNTIFS($A:$A,A573,$E:E,E573)&gt;1,"NOK","OK")</f>
        <v>OK</v>
      </c>
      <c r="H573" s="11" t="str">
        <f t="shared" si="59"/>
        <v>OK</v>
      </c>
      <c r="I573" s="11" t="str">
        <f t="shared" si="60"/>
        <v>OK</v>
      </c>
      <c r="J573" s="11" t="str">
        <f t="shared" si="61"/>
        <v>OK</v>
      </c>
      <c r="K573" s="11" t="str">
        <f t="shared" si="62"/>
        <v>OK</v>
      </c>
      <c r="R573" t="str">
        <f t="shared" si="63"/>
        <v>Keep</v>
      </c>
    </row>
    <row r="574" spans="1:18" ht="15">
      <c r="A574" s="23" t="s">
        <v>584</v>
      </c>
      <c r="B574" s="24" t="s">
        <v>7</v>
      </c>
      <c r="C574" s="24" t="s">
        <v>172</v>
      </c>
      <c r="D574" s="7">
        <v>277374</v>
      </c>
      <c r="E574" s="24" t="s">
        <v>12</v>
      </c>
      <c r="F574" s="11" t="str">
        <f t="shared" si="58"/>
        <v>OK</v>
      </c>
      <c r="G574" s="11" t="str">
        <f>IF(COUNTIFS($A:$A,A574,$E:E,E574)&gt;1,"NOK","OK")</f>
        <v>OK</v>
      </c>
      <c r="H574" s="11" t="str">
        <f t="shared" si="59"/>
        <v>OK</v>
      </c>
      <c r="I574" s="11" t="str">
        <f t="shared" si="60"/>
        <v>OK</v>
      </c>
      <c r="J574" s="11" t="str">
        <f t="shared" si="61"/>
        <v>OK</v>
      </c>
      <c r="K574" s="11" t="str">
        <f t="shared" si="62"/>
        <v>OK</v>
      </c>
      <c r="R574" t="str">
        <f t="shared" si="63"/>
        <v>Keep</v>
      </c>
    </row>
    <row r="575" spans="1:18" ht="15">
      <c r="A575" s="23" t="s">
        <v>585</v>
      </c>
      <c r="B575" s="24" t="s">
        <v>7</v>
      </c>
      <c r="C575" s="24" t="s">
        <v>172</v>
      </c>
      <c r="D575" s="7">
        <v>262571</v>
      </c>
      <c r="E575" s="24" t="s">
        <v>12</v>
      </c>
      <c r="F575" s="11" t="str">
        <f t="shared" si="58"/>
        <v>OK</v>
      </c>
      <c r="G575" s="11" t="str">
        <f>IF(COUNTIFS($A:$A,A575,$E:E,E575)&gt;1,"NOK","OK")</f>
        <v>OK</v>
      </c>
      <c r="H575" s="11" t="str">
        <f t="shared" si="59"/>
        <v>OK</v>
      </c>
      <c r="I575" s="11" t="str">
        <f t="shared" si="60"/>
        <v>OK</v>
      </c>
      <c r="J575" s="11" t="str">
        <f t="shared" si="61"/>
        <v>OK</v>
      </c>
      <c r="K575" s="11" t="str">
        <f t="shared" si="62"/>
        <v>OK</v>
      </c>
      <c r="R575" t="str">
        <f t="shared" si="63"/>
        <v>Keep</v>
      </c>
    </row>
    <row r="576" spans="1:18" ht="15">
      <c r="A576" s="23" t="s">
        <v>586</v>
      </c>
      <c r="B576" s="24" t="s">
        <v>7</v>
      </c>
      <c r="C576" s="24" t="s">
        <v>172</v>
      </c>
      <c r="D576" s="7">
        <v>253957</v>
      </c>
      <c r="E576" s="24" t="s">
        <v>16</v>
      </c>
      <c r="F576" s="11" t="str">
        <f t="shared" si="58"/>
        <v>OK</v>
      </c>
      <c r="G576" s="11" t="str">
        <f>IF(COUNTIFS($A:$A,A576,$E:E,E576)&gt;1,"NOK","OK")</f>
        <v>OK</v>
      </c>
      <c r="H576" s="11" t="str">
        <f t="shared" si="59"/>
        <v>OK</v>
      </c>
      <c r="I576" s="11" t="str">
        <f t="shared" si="60"/>
        <v>OK</v>
      </c>
      <c r="J576" s="11" t="str">
        <f t="shared" si="61"/>
        <v>OK</v>
      </c>
      <c r="K576" s="11" t="str">
        <f t="shared" si="62"/>
        <v>OK</v>
      </c>
      <c r="R576" t="str">
        <f t="shared" si="63"/>
        <v>Keep</v>
      </c>
    </row>
    <row r="577" spans="1:18" ht="15">
      <c r="A577" s="23" t="s">
        <v>587</v>
      </c>
      <c r="B577" s="24" t="s">
        <v>7</v>
      </c>
      <c r="C577" s="24" t="s">
        <v>172</v>
      </c>
      <c r="D577" s="7">
        <v>76489</v>
      </c>
      <c r="E577" s="24" t="s">
        <v>12</v>
      </c>
      <c r="F577" s="11" t="str">
        <f t="shared" si="58"/>
        <v>OK</v>
      </c>
      <c r="G577" s="11" t="str">
        <f>IF(COUNTIFS($A:$A,A577,$E:E,E577)&gt;1,"NOK","OK")</f>
        <v>OK</v>
      </c>
      <c r="H577" s="11" t="str">
        <f t="shared" si="59"/>
        <v>OK</v>
      </c>
      <c r="I577" s="11" t="str">
        <f t="shared" si="60"/>
        <v>OK</v>
      </c>
      <c r="J577" s="11" t="str">
        <f t="shared" si="61"/>
        <v>OK</v>
      </c>
      <c r="K577" s="11" t="str">
        <f t="shared" si="62"/>
        <v>OK</v>
      </c>
      <c r="R577" t="str">
        <f t="shared" si="63"/>
        <v>Keep</v>
      </c>
    </row>
    <row r="578" spans="1:18" ht="15">
      <c r="A578" s="23" t="s">
        <v>588</v>
      </c>
      <c r="B578" s="24" t="s">
        <v>7</v>
      </c>
      <c r="C578" s="24" t="s">
        <v>172</v>
      </c>
      <c r="D578" s="7">
        <v>219808</v>
      </c>
      <c r="E578" s="24" t="s">
        <v>16</v>
      </c>
      <c r="F578" s="11" t="str">
        <f t="shared" si="58"/>
        <v>OK</v>
      </c>
      <c r="G578" s="11" t="str">
        <f>IF(COUNTIFS($A:$A,A578,$E:E,E578)&gt;1,"NOK","OK")</f>
        <v>OK</v>
      </c>
      <c r="H578" s="11" t="str">
        <f t="shared" si="59"/>
        <v>OK</v>
      </c>
      <c r="I578" s="11" t="str">
        <f t="shared" si="60"/>
        <v>OK</v>
      </c>
      <c r="J578" s="11" t="str">
        <f t="shared" si="61"/>
        <v>OK</v>
      </c>
      <c r="K578" s="11" t="str">
        <f t="shared" si="62"/>
        <v>OK</v>
      </c>
      <c r="R578" t="str">
        <f t="shared" si="63"/>
        <v>Keep</v>
      </c>
    </row>
    <row r="579" spans="1:18" ht="15">
      <c r="A579" s="23" t="s">
        <v>589</v>
      </c>
      <c r="B579" s="24" t="s">
        <v>7</v>
      </c>
      <c r="C579" s="24" t="s">
        <v>172</v>
      </c>
      <c r="D579" s="7">
        <v>174261</v>
      </c>
      <c r="E579" s="24" t="s">
        <v>12</v>
      </c>
      <c r="F579" s="11" t="str">
        <f t="shared" si="58"/>
        <v>OK</v>
      </c>
      <c r="G579" s="11" t="str">
        <f>IF(COUNTIFS($A:$A,A579,$E:E,E579)&gt;1,"NOK","OK")</f>
        <v>OK</v>
      </c>
      <c r="H579" s="11" t="str">
        <f t="shared" si="59"/>
        <v>OK</v>
      </c>
      <c r="I579" s="11" t="str">
        <f t="shared" si="60"/>
        <v>OK</v>
      </c>
      <c r="J579" s="11" t="str">
        <f t="shared" si="61"/>
        <v>OK</v>
      </c>
      <c r="K579" s="11" t="str">
        <f t="shared" si="62"/>
        <v>OK</v>
      </c>
      <c r="R579" t="str">
        <f t="shared" si="63"/>
        <v>Keep</v>
      </c>
    </row>
    <row r="580" spans="1:18" ht="15">
      <c r="A580" s="23" t="s">
        <v>590</v>
      </c>
      <c r="B580" s="24" t="s">
        <v>7</v>
      </c>
      <c r="C580" s="24" t="s">
        <v>172</v>
      </c>
      <c r="D580" s="7">
        <v>292358</v>
      </c>
      <c r="E580" s="24" t="s">
        <v>12</v>
      </c>
      <c r="F580" s="11" t="str">
        <f t="shared" ref="F580:F631" si="64">IF(COUNTA($A580:$E580),"OK","NOK")</f>
        <v>OK</v>
      </c>
      <c r="G580" s="11" t="str">
        <f>IF(COUNTIFS($A:$A,A580,$E:E,E580)&gt;1,"NOK","OK")</f>
        <v>OK</v>
      </c>
      <c r="H580" s="11" t="str">
        <f t="shared" ref="H580:H631" si="65">IF(OR(B580="Corporate", B580="Emerging", B580="Enterprise", B580="Small Business"),"OK","NOK")</f>
        <v>OK</v>
      </c>
      <c r="I580" s="11" t="str">
        <f t="shared" ref="I580:I631" si="66">IF(OR(C580="ANZ", C580="DACH", C580="France", C580="North America", C580="UK"),"OK","NOK")</f>
        <v>OK</v>
      </c>
      <c r="J580" s="11" t="str">
        <f t="shared" ref="J580:J631" si="67">IF(OR(D580&lt;=0, D580&gt;300000),"NOK","OK")</f>
        <v>OK</v>
      </c>
      <c r="K580" s="11" t="str">
        <f t="shared" ref="K580:K631" si="68">IF(OR(E580="FY23", E580="FY24", E580="FY25"),"OK","NOK")</f>
        <v>OK</v>
      </c>
      <c r="R580" t="str">
        <f t="shared" ref="R580:R628" si="69">IF(COUNTIF(F580:K580, "NOK") &gt; 0, "Hide", "Keep")</f>
        <v>Keep</v>
      </c>
    </row>
    <row r="581" spans="1:18" ht="15">
      <c r="A581" s="23" t="s">
        <v>591</v>
      </c>
      <c r="B581" s="24" t="s">
        <v>7</v>
      </c>
      <c r="C581" s="24" t="s">
        <v>172</v>
      </c>
      <c r="D581" s="7">
        <v>157277</v>
      </c>
      <c r="E581" s="24" t="s">
        <v>16</v>
      </c>
      <c r="F581" s="11" t="str">
        <f t="shared" si="64"/>
        <v>OK</v>
      </c>
      <c r="G581" s="11" t="str">
        <f>IF(COUNTIFS($A:$A,A581,$E:E,E581)&gt;1,"NOK","OK")</f>
        <v>OK</v>
      </c>
      <c r="H581" s="11" t="str">
        <f t="shared" si="65"/>
        <v>OK</v>
      </c>
      <c r="I581" s="11" t="str">
        <f t="shared" si="66"/>
        <v>OK</v>
      </c>
      <c r="J581" s="11" t="str">
        <f t="shared" si="67"/>
        <v>OK</v>
      </c>
      <c r="K581" s="11" t="str">
        <f t="shared" si="68"/>
        <v>OK</v>
      </c>
      <c r="R581" t="str">
        <f t="shared" si="69"/>
        <v>Keep</v>
      </c>
    </row>
    <row r="582" spans="1:18" ht="15">
      <c r="A582" s="23" t="s">
        <v>592</v>
      </c>
      <c r="B582" s="24" t="s">
        <v>7</v>
      </c>
      <c r="C582" s="24" t="s">
        <v>172</v>
      </c>
      <c r="D582" s="7">
        <v>170260</v>
      </c>
      <c r="E582" s="24" t="s">
        <v>16</v>
      </c>
      <c r="F582" s="11" t="str">
        <f t="shared" si="64"/>
        <v>OK</v>
      </c>
      <c r="G582" s="11" t="str">
        <f>IF(COUNTIFS($A:$A,A582,$E:E,E582)&gt;1,"NOK","OK")</f>
        <v>OK</v>
      </c>
      <c r="H582" s="11" t="str">
        <f t="shared" si="65"/>
        <v>OK</v>
      </c>
      <c r="I582" s="11" t="str">
        <f t="shared" si="66"/>
        <v>OK</v>
      </c>
      <c r="J582" s="11" t="str">
        <f t="shared" si="67"/>
        <v>OK</v>
      </c>
      <c r="K582" s="11" t="str">
        <f t="shared" si="68"/>
        <v>OK</v>
      </c>
      <c r="R582" t="str">
        <f t="shared" si="69"/>
        <v>Keep</v>
      </c>
    </row>
    <row r="583" spans="1:18" ht="15">
      <c r="A583" s="23" t="s">
        <v>593</v>
      </c>
      <c r="B583" s="24" t="s">
        <v>7</v>
      </c>
      <c r="C583" s="24" t="s">
        <v>172</v>
      </c>
      <c r="D583" s="7">
        <v>92236</v>
      </c>
      <c r="E583" s="24" t="s">
        <v>12</v>
      </c>
      <c r="F583" s="11" t="str">
        <f t="shared" si="64"/>
        <v>OK</v>
      </c>
      <c r="G583" s="11" t="str">
        <f>IF(COUNTIFS($A:$A,A583,$E:E,E583)&gt;1,"NOK","OK")</f>
        <v>OK</v>
      </c>
      <c r="H583" s="11" t="str">
        <f t="shared" si="65"/>
        <v>OK</v>
      </c>
      <c r="I583" s="11" t="str">
        <f t="shared" si="66"/>
        <v>OK</v>
      </c>
      <c r="J583" s="11" t="str">
        <f t="shared" si="67"/>
        <v>OK</v>
      </c>
      <c r="K583" s="11" t="str">
        <f t="shared" si="68"/>
        <v>OK</v>
      </c>
      <c r="R583" t="str">
        <f t="shared" si="69"/>
        <v>Keep</v>
      </c>
    </row>
    <row r="584" spans="1:18" ht="15">
      <c r="A584" s="23" t="s">
        <v>594</v>
      </c>
      <c r="B584" s="24" t="s">
        <v>7</v>
      </c>
      <c r="C584" s="24" t="s">
        <v>172</v>
      </c>
      <c r="D584" s="7">
        <v>265985</v>
      </c>
      <c r="E584" s="24" t="s">
        <v>16</v>
      </c>
      <c r="F584" s="11" t="str">
        <f t="shared" si="64"/>
        <v>OK</v>
      </c>
      <c r="G584" s="11" t="str">
        <f>IF(COUNTIFS($A:$A,A584,$E:E,E584)&gt;1,"NOK","OK")</f>
        <v>OK</v>
      </c>
      <c r="H584" s="11" t="str">
        <f t="shared" si="65"/>
        <v>OK</v>
      </c>
      <c r="I584" s="11" t="str">
        <f t="shared" si="66"/>
        <v>OK</v>
      </c>
      <c r="J584" s="11" t="str">
        <f t="shared" si="67"/>
        <v>OK</v>
      </c>
      <c r="K584" s="11" t="str">
        <f t="shared" si="68"/>
        <v>OK</v>
      </c>
      <c r="R584" t="str">
        <f t="shared" si="69"/>
        <v>Keep</v>
      </c>
    </row>
    <row r="585" spans="1:18" ht="15">
      <c r="A585" s="23" t="s">
        <v>595</v>
      </c>
      <c r="B585" s="24" t="s">
        <v>7</v>
      </c>
      <c r="C585" s="24" t="s">
        <v>172</v>
      </c>
      <c r="D585" s="7">
        <v>137688</v>
      </c>
      <c r="E585" s="24" t="s">
        <v>9</v>
      </c>
      <c r="F585" s="11" t="str">
        <f t="shared" si="64"/>
        <v>OK</v>
      </c>
      <c r="G585" s="11" t="str">
        <f>IF(COUNTIFS($A:$A,A585,$E:E,E585)&gt;1,"NOK","OK")</f>
        <v>OK</v>
      </c>
      <c r="H585" s="11" t="str">
        <f t="shared" si="65"/>
        <v>OK</v>
      </c>
      <c r="I585" s="11" t="str">
        <f t="shared" si="66"/>
        <v>OK</v>
      </c>
      <c r="J585" s="11" t="str">
        <f t="shared" si="67"/>
        <v>OK</v>
      </c>
      <c r="K585" s="11" t="str">
        <f t="shared" si="68"/>
        <v>OK</v>
      </c>
      <c r="R585" t="str">
        <f t="shared" si="69"/>
        <v>Keep</v>
      </c>
    </row>
    <row r="586" spans="1:18" ht="15">
      <c r="A586" s="23" t="s">
        <v>596</v>
      </c>
      <c r="B586" s="24" t="s">
        <v>25</v>
      </c>
      <c r="C586" s="24" t="s">
        <v>172</v>
      </c>
      <c r="D586" s="7">
        <v>26989</v>
      </c>
      <c r="E586" s="24" t="s">
        <v>16</v>
      </c>
      <c r="F586" s="11" t="str">
        <f t="shared" si="64"/>
        <v>OK</v>
      </c>
      <c r="G586" s="11" t="str">
        <f>IF(COUNTIFS($A:$A,A586,$E:E,E586)&gt;1,"NOK","OK")</f>
        <v>OK</v>
      </c>
      <c r="H586" s="11" t="str">
        <f t="shared" si="65"/>
        <v>OK</v>
      </c>
      <c r="I586" s="11" t="str">
        <f t="shared" si="66"/>
        <v>OK</v>
      </c>
      <c r="J586" s="11" t="str">
        <f t="shared" si="67"/>
        <v>OK</v>
      </c>
      <c r="K586" s="11" t="str">
        <f t="shared" si="68"/>
        <v>OK</v>
      </c>
      <c r="R586" t="str">
        <f t="shared" si="69"/>
        <v>Keep</v>
      </c>
    </row>
    <row r="587" spans="1:18" ht="15">
      <c r="A587" s="23" t="s">
        <v>597</v>
      </c>
      <c r="B587" s="24" t="s">
        <v>11</v>
      </c>
      <c r="C587" s="24" t="s">
        <v>172</v>
      </c>
      <c r="D587" s="7">
        <v>123754</v>
      </c>
      <c r="E587" s="24" t="s">
        <v>9</v>
      </c>
      <c r="F587" s="11" t="str">
        <f t="shared" si="64"/>
        <v>OK</v>
      </c>
      <c r="G587" s="11" t="str">
        <f>IF(COUNTIFS($A:$A,A587,$E:E,E587)&gt;1,"NOK","OK")</f>
        <v>OK</v>
      </c>
      <c r="H587" s="11" t="str">
        <f t="shared" si="65"/>
        <v>OK</v>
      </c>
      <c r="I587" s="11" t="str">
        <f t="shared" si="66"/>
        <v>OK</v>
      </c>
      <c r="J587" s="11" t="str">
        <f t="shared" si="67"/>
        <v>OK</v>
      </c>
      <c r="K587" s="11" t="str">
        <f t="shared" si="68"/>
        <v>OK</v>
      </c>
      <c r="R587" t="str">
        <f t="shared" si="69"/>
        <v>Keep</v>
      </c>
    </row>
    <row r="588" spans="1:18" ht="15">
      <c r="A588" s="23" t="s">
        <v>598</v>
      </c>
      <c r="B588" s="24" t="s">
        <v>25</v>
      </c>
      <c r="C588" s="24" t="s">
        <v>172</v>
      </c>
      <c r="D588" s="7">
        <v>7599</v>
      </c>
      <c r="E588" s="24" t="s">
        <v>9</v>
      </c>
      <c r="F588" s="11" t="str">
        <f t="shared" si="64"/>
        <v>OK</v>
      </c>
      <c r="G588" s="11" t="str">
        <f>IF(COUNTIFS($A:$A,A588,$E:E,E588)&gt;1,"NOK","OK")</f>
        <v>OK</v>
      </c>
      <c r="H588" s="11" t="str">
        <f t="shared" si="65"/>
        <v>OK</v>
      </c>
      <c r="I588" s="11" t="str">
        <f t="shared" si="66"/>
        <v>OK</v>
      </c>
      <c r="J588" s="11" t="str">
        <f t="shared" si="67"/>
        <v>OK</v>
      </c>
      <c r="K588" s="11" t="str">
        <f t="shared" si="68"/>
        <v>OK</v>
      </c>
      <c r="R588" t="str">
        <f t="shared" si="69"/>
        <v>Keep</v>
      </c>
    </row>
    <row r="589" spans="1:18" ht="15">
      <c r="A589" s="23" t="s">
        <v>599</v>
      </c>
      <c r="B589" s="24" t="s">
        <v>7</v>
      </c>
      <c r="C589" s="24" t="s">
        <v>172</v>
      </c>
      <c r="D589" s="7">
        <v>54543</v>
      </c>
      <c r="E589" s="24" t="s">
        <v>9</v>
      </c>
      <c r="F589" s="11" t="str">
        <f t="shared" si="64"/>
        <v>OK</v>
      </c>
      <c r="G589" s="11" t="str">
        <f>IF(COUNTIFS($A:$A,A589,$E:E,E589)&gt;1,"NOK","OK")</f>
        <v>OK</v>
      </c>
      <c r="H589" s="11" t="str">
        <f t="shared" si="65"/>
        <v>OK</v>
      </c>
      <c r="I589" s="11" t="str">
        <f t="shared" si="66"/>
        <v>OK</v>
      </c>
      <c r="J589" s="11" t="str">
        <f t="shared" si="67"/>
        <v>OK</v>
      </c>
      <c r="K589" s="11" t="str">
        <f t="shared" si="68"/>
        <v>OK</v>
      </c>
      <c r="R589" t="str">
        <f t="shared" si="69"/>
        <v>Keep</v>
      </c>
    </row>
    <row r="590" spans="1:18" ht="15">
      <c r="A590" s="23" t="s">
        <v>600</v>
      </c>
      <c r="B590" s="24" t="s">
        <v>7</v>
      </c>
      <c r="C590" s="24" t="s">
        <v>172</v>
      </c>
      <c r="D590" s="7">
        <v>224027</v>
      </c>
      <c r="E590" s="24" t="s">
        <v>12</v>
      </c>
      <c r="F590" s="11" t="str">
        <f t="shared" si="64"/>
        <v>OK</v>
      </c>
      <c r="G590" s="11" t="str">
        <f>IF(COUNTIFS($A:$A,A590,$E:E,E590)&gt;1,"NOK","OK")</f>
        <v>OK</v>
      </c>
      <c r="H590" s="11" t="str">
        <f t="shared" si="65"/>
        <v>OK</v>
      </c>
      <c r="I590" s="11" t="str">
        <f t="shared" si="66"/>
        <v>OK</v>
      </c>
      <c r="J590" s="11" t="str">
        <f t="shared" si="67"/>
        <v>OK</v>
      </c>
      <c r="K590" s="11" t="str">
        <f t="shared" si="68"/>
        <v>OK</v>
      </c>
      <c r="R590" t="str">
        <f t="shared" si="69"/>
        <v>Keep</v>
      </c>
    </row>
    <row r="591" spans="1:18" ht="15">
      <c r="A591" s="23" t="s">
        <v>601</v>
      </c>
      <c r="B591" s="24" t="s">
        <v>7</v>
      </c>
      <c r="C591" s="24" t="s">
        <v>172</v>
      </c>
      <c r="D591" s="7">
        <v>178861</v>
      </c>
      <c r="E591" s="24" t="s">
        <v>9</v>
      </c>
      <c r="F591" s="11" t="str">
        <f t="shared" si="64"/>
        <v>OK</v>
      </c>
      <c r="G591" s="11" t="str">
        <f>IF(COUNTIFS($A:$A,A591,$E:E,E591)&gt;1,"NOK","OK")</f>
        <v>OK</v>
      </c>
      <c r="H591" s="11" t="str">
        <f t="shared" si="65"/>
        <v>OK</v>
      </c>
      <c r="I591" s="11" t="str">
        <f t="shared" si="66"/>
        <v>OK</v>
      </c>
      <c r="J591" s="11" t="str">
        <f t="shared" si="67"/>
        <v>OK</v>
      </c>
      <c r="K591" s="11" t="str">
        <f t="shared" si="68"/>
        <v>OK</v>
      </c>
      <c r="R591" t="str">
        <f t="shared" si="69"/>
        <v>Keep</v>
      </c>
    </row>
    <row r="592" spans="1:18" ht="15">
      <c r="A592" s="23" t="s">
        <v>602</v>
      </c>
      <c r="B592" s="24" t="s">
        <v>7</v>
      </c>
      <c r="C592" s="24" t="s">
        <v>172</v>
      </c>
      <c r="D592" s="7">
        <v>145446</v>
      </c>
      <c r="E592" s="24" t="s">
        <v>12</v>
      </c>
      <c r="F592" s="11" t="str">
        <f t="shared" si="64"/>
        <v>OK</v>
      </c>
      <c r="G592" s="11" t="str">
        <f>IF(COUNTIFS($A:$A,A592,$E:E,E592)&gt;1,"NOK","OK")</f>
        <v>OK</v>
      </c>
      <c r="H592" s="11" t="str">
        <f t="shared" si="65"/>
        <v>OK</v>
      </c>
      <c r="I592" s="11" t="str">
        <f t="shared" si="66"/>
        <v>OK</v>
      </c>
      <c r="J592" s="11" t="str">
        <f t="shared" si="67"/>
        <v>OK</v>
      </c>
      <c r="K592" s="11" t="str">
        <f t="shared" si="68"/>
        <v>OK</v>
      </c>
      <c r="R592" t="str">
        <f t="shared" si="69"/>
        <v>Keep</v>
      </c>
    </row>
    <row r="593" spans="1:18" ht="15">
      <c r="A593" s="23" t="s">
        <v>603</v>
      </c>
      <c r="B593" s="24" t="s">
        <v>11</v>
      </c>
      <c r="C593" s="24" t="s">
        <v>172</v>
      </c>
      <c r="D593" s="7">
        <v>135236</v>
      </c>
      <c r="E593" s="24" t="s">
        <v>16</v>
      </c>
      <c r="F593" s="11" t="str">
        <f t="shared" si="64"/>
        <v>OK</v>
      </c>
      <c r="G593" s="11" t="str">
        <f>IF(COUNTIFS($A:$A,A593,$E:E,E593)&gt;1,"NOK","OK")</f>
        <v>OK</v>
      </c>
      <c r="H593" s="11" t="str">
        <f t="shared" si="65"/>
        <v>OK</v>
      </c>
      <c r="I593" s="11" t="str">
        <f t="shared" si="66"/>
        <v>OK</v>
      </c>
      <c r="J593" s="11" t="str">
        <f t="shared" si="67"/>
        <v>OK</v>
      </c>
      <c r="K593" s="11" t="str">
        <f t="shared" si="68"/>
        <v>OK</v>
      </c>
      <c r="R593" t="str">
        <f t="shared" si="69"/>
        <v>Keep</v>
      </c>
    </row>
    <row r="594" spans="1:18" ht="15">
      <c r="A594" s="23" t="s">
        <v>604</v>
      </c>
      <c r="B594" s="24" t="s">
        <v>7</v>
      </c>
      <c r="C594" s="24" t="s">
        <v>172</v>
      </c>
      <c r="D594" s="7">
        <v>137691</v>
      </c>
      <c r="E594" s="24" t="s">
        <v>9</v>
      </c>
      <c r="F594" s="11" t="str">
        <f t="shared" si="64"/>
        <v>OK</v>
      </c>
      <c r="G594" s="11" t="str">
        <f>IF(COUNTIFS($A:$A,A594,$E:E,E594)&gt;1,"NOK","OK")</f>
        <v>OK</v>
      </c>
      <c r="H594" s="11" t="str">
        <f t="shared" si="65"/>
        <v>OK</v>
      </c>
      <c r="I594" s="11" t="str">
        <f t="shared" si="66"/>
        <v>OK</v>
      </c>
      <c r="J594" s="11" t="str">
        <f t="shared" si="67"/>
        <v>OK</v>
      </c>
      <c r="K594" s="11" t="str">
        <f t="shared" si="68"/>
        <v>OK</v>
      </c>
      <c r="R594" t="str">
        <f t="shared" si="69"/>
        <v>Keep</v>
      </c>
    </row>
    <row r="595" spans="1:18" ht="15">
      <c r="A595" s="23" t="s">
        <v>605</v>
      </c>
      <c r="B595" s="24" t="s">
        <v>11</v>
      </c>
      <c r="C595" s="24" t="s">
        <v>172</v>
      </c>
      <c r="D595" s="7">
        <v>123572</v>
      </c>
      <c r="E595" s="24" t="s">
        <v>12</v>
      </c>
      <c r="F595" s="11" t="str">
        <f t="shared" si="64"/>
        <v>OK</v>
      </c>
      <c r="G595" s="11" t="str">
        <f>IF(COUNTIFS($A:$A,A595,$E:E,E595)&gt;1,"NOK","OK")</f>
        <v>OK</v>
      </c>
      <c r="H595" s="11" t="str">
        <f t="shared" si="65"/>
        <v>OK</v>
      </c>
      <c r="I595" s="11" t="str">
        <f t="shared" si="66"/>
        <v>OK</v>
      </c>
      <c r="J595" s="11" t="str">
        <f t="shared" si="67"/>
        <v>OK</v>
      </c>
      <c r="K595" s="11" t="str">
        <f t="shared" si="68"/>
        <v>OK</v>
      </c>
      <c r="R595" t="str">
        <f t="shared" si="69"/>
        <v>Keep</v>
      </c>
    </row>
    <row r="596" spans="1:18" ht="15">
      <c r="A596" s="23" t="s">
        <v>606</v>
      </c>
      <c r="B596" s="24" t="s">
        <v>7</v>
      </c>
      <c r="C596" s="24" t="s">
        <v>172</v>
      </c>
      <c r="D596" s="7">
        <v>86642</v>
      </c>
      <c r="E596" s="24" t="s">
        <v>12</v>
      </c>
      <c r="F596" s="11" t="str">
        <f t="shared" si="64"/>
        <v>OK</v>
      </c>
      <c r="G596" s="11" t="str">
        <f>IF(COUNTIFS($A:$A,A596,$E:E,E596)&gt;1,"NOK","OK")</f>
        <v>OK</v>
      </c>
      <c r="H596" s="11" t="str">
        <f t="shared" si="65"/>
        <v>OK</v>
      </c>
      <c r="I596" s="11" t="str">
        <f t="shared" si="66"/>
        <v>OK</v>
      </c>
      <c r="J596" s="11" t="str">
        <f t="shared" si="67"/>
        <v>OK</v>
      </c>
      <c r="K596" s="11" t="str">
        <f t="shared" si="68"/>
        <v>OK</v>
      </c>
      <c r="R596" t="str">
        <f t="shared" si="69"/>
        <v>Keep</v>
      </c>
    </row>
    <row r="597" spans="1:18" ht="15">
      <c r="A597" s="23" t="s">
        <v>607</v>
      </c>
      <c r="B597" s="24" t="s">
        <v>7</v>
      </c>
      <c r="C597" s="24" t="s">
        <v>172</v>
      </c>
      <c r="D597" s="7">
        <v>137715</v>
      </c>
      <c r="E597" s="24" t="s">
        <v>12</v>
      </c>
      <c r="F597" s="11" t="str">
        <f t="shared" si="64"/>
        <v>OK</v>
      </c>
      <c r="G597" s="11" t="str">
        <f>IF(COUNTIFS($A:$A,A597,$E:E,E597)&gt;1,"NOK","OK")</f>
        <v>OK</v>
      </c>
      <c r="H597" s="11" t="str">
        <f t="shared" si="65"/>
        <v>OK</v>
      </c>
      <c r="I597" s="11" t="str">
        <f t="shared" si="66"/>
        <v>OK</v>
      </c>
      <c r="J597" s="11" t="str">
        <f t="shared" si="67"/>
        <v>OK</v>
      </c>
      <c r="K597" s="11" t="str">
        <f t="shared" si="68"/>
        <v>OK</v>
      </c>
      <c r="R597" t="str">
        <f t="shared" si="69"/>
        <v>Keep</v>
      </c>
    </row>
    <row r="598" spans="1:18" ht="15">
      <c r="A598" s="23" t="s">
        <v>608</v>
      </c>
      <c r="B598" s="24" t="s">
        <v>7</v>
      </c>
      <c r="C598" s="24" t="s">
        <v>172</v>
      </c>
      <c r="D598" s="7">
        <v>275603</v>
      </c>
      <c r="E598" s="24" t="s">
        <v>16</v>
      </c>
      <c r="F598" s="11" t="str">
        <f t="shared" si="64"/>
        <v>OK</v>
      </c>
      <c r="G598" s="11" t="str">
        <f>IF(COUNTIFS($A:$A,A598,$E:E,E598)&gt;1,"NOK","OK")</f>
        <v>OK</v>
      </c>
      <c r="H598" s="11" t="str">
        <f t="shared" si="65"/>
        <v>OK</v>
      </c>
      <c r="I598" s="11" t="str">
        <f t="shared" si="66"/>
        <v>OK</v>
      </c>
      <c r="J598" s="11" t="str">
        <f t="shared" si="67"/>
        <v>OK</v>
      </c>
      <c r="K598" s="11" t="str">
        <f t="shared" si="68"/>
        <v>OK</v>
      </c>
      <c r="R598" t="str">
        <f t="shared" si="69"/>
        <v>Keep</v>
      </c>
    </row>
    <row r="599" spans="1:18" ht="15">
      <c r="A599" s="23" t="s">
        <v>609</v>
      </c>
      <c r="B599" s="24" t="s">
        <v>7</v>
      </c>
      <c r="C599" s="24" t="s">
        <v>172</v>
      </c>
      <c r="D599" s="7">
        <v>284337</v>
      </c>
      <c r="E599" s="24" t="s">
        <v>16</v>
      </c>
      <c r="F599" s="11" t="str">
        <f t="shared" si="64"/>
        <v>OK</v>
      </c>
      <c r="G599" s="11" t="str">
        <f>IF(COUNTIFS($A:$A,A599,$E:E,E599)&gt;1,"NOK","OK")</f>
        <v>OK</v>
      </c>
      <c r="H599" s="11" t="str">
        <f t="shared" si="65"/>
        <v>OK</v>
      </c>
      <c r="I599" s="11" t="str">
        <f t="shared" si="66"/>
        <v>OK</v>
      </c>
      <c r="J599" s="11" t="str">
        <f t="shared" si="67"/>
        <v>OK</v>
      </c>
      <c r="K599" s="11" t="str">
        <f t="shared" si="68"/>
        <v>OK</v>
      </c>
      <c r="R599" t="str">
        <f t="shared" si="69"/>
        <v>Keep</v>
      </c>
    </row>
    <row r="600" spans="1:18" ht="15">
      <c r="A600" s="23" t="s">
        <v>610</v>
      </c>
      <c r="B600" s="24" t="s">
        <v>7</v>
      </c>
      <c r="C600" s="24" t="s">
        <v>172</v>
      </c>
      <c r="D600" s="7">
        <v>25496</v>
      </c>
      <c r="E600" s="24" t="s">
        <v>16</v>
      </c>
      <c r="F600" s="11" t="str">
        <f t="shared" si="64"/>
        <v>OK</v>
      </c>
      <c r="G600" s="11" t="str">
        <f>IF(COUNTIFS($A:$A,A600,$E:E,E600)&gt;1,"NOK","OK")</f>
        <v>OK</v>
      </c>
      <c r="H600" s="11" t="str">
        <f t="shared" si="65"/>
        <v>OK</v>
      </c>
      <c r="I600" s="11" t="str">
        <f t="shared" si="66"/>
        <v>OK</v>
      </c>
      <c r="J600" s="11" t="str">
        <f t="shared" si="67"/>
        <v>OK</v>
      </c>
      <c r="K600" s="11" t="str">
        <f t="shared" si="68"/>
        <v>OK</v>
      </c>
      <c r="R600" t="str">
        <f t="shared" si="69"/>
        <v>Keep</v>
      </c>
    </row>
    <row r="601" spans="1:18" ht="15">
      <c r="A601" s="23" t="s">
        <v>611</v>
      </c>
      <c r="B601" s="24" t="s">
        <v>7</v>
      </c>
      <c r="C601" s="24" t="s">
        <v>172</v>
      </c>
      <c r="D601" s="7">
        <v>85458</v>
      </c>
      <c r="E601" s="24" t="s">
        <v>12</v>
      </c>
      <c r="F601" s="11" t="str">
        <f t="shared" si="64"/>
        <v>OK</v>
      </c>
      <c r="G601" s="11" t="str">
        <f>IF(COUNTIFS($A:$A,A601,$E:E,E601)&gt;1,"NOK","OK")</f>
        <v>OK</v>
      </c>
      <c r="H601" s="11" t="str">
        <f t="shared" si="65"/>
        <v>OK</v>
      </c>
      <c r="I601" s="11" t="str">
        <f t="shared" si="66"/>
        <v>OK</v>
      </c>
      <c r="J601" s="11" t="str">
        <f t="shared" si="67"/>
        <v>OK</v>
      </c>
      <c r="K601" s="11" t="str">
        <f t="shared" si="68"/>
        <v>OK</v>
      </c>
      <c r="R601" t="str">
        <f t="shared" si="69"/>
        <v>Keep</v>
      </c>
    </row>
    <row r="602" spans="1:18" ht="15">
      <c r="A602" s="23" t="s">
        <v>612</v>
      </c>
      <c r="B602" s="24" t="s">
        <v>7</v>
      </c>
      <c r="C602" s="24" t="s">
        <v>172</v>
      </c>
      <c r="D602" s="7">
        <v>15235</v>
      </c>
      <c r="E602" s="24" t="s">
        <v>16</v>
      </c>
      <c r="F602" s="11" t="str">
        <f t="shared" si="64"/>
        <v>OK</v>
      </c>
      <c r="G602" s="11" t="str">
        <f>IF(COUNTIFS($A:$A,A602,$E:E,E602)&gt;1,"NOK","OK")</f>
        <v>OK</v>
      </c>
      <c r="H602" s="11" t="str">
        <f t="shared" si="65"/>
        <v>OK</v>
      </c>
      <c r="I602" s="11" t="str">
        <f t="shared" si="66"/>
        <v>OK</v>
      </c>
      <c r="J602" s="11" t="str">
        <f t="shared" si="67"/>
        <v>OK</v>
      </c>
      <c r="K602" s="11" t="str">
        <f t="shared" si="68"/>
        <v>OK</v>
      </c>
      <c r="R602" t="str">
        <f t="shared" si="69"/>
        <v>Keep</v>
      </c>
    </row>
    <row r="603" spans="1:18" ht="15">
      <c r="A603" s="23" t="s">
        <v>613</v>
      </c>
      <c r="B603" s="24" t="s">
        <v>7</v>
      </c>
      <c r="C603" s="24" t="s">
        <v>172</v>
      </c>
      <c r="D603" s="7">
        <v>159928</v>
      </c>
      <c r="E603" s="24" t="s">
        <v>12</v>
      </c>
      <c r="F603" s="11" t="str">
        <f t="shared" si="64"/>
        <v>OK</v>
      </c>
      <c r="G603" s="11" t="str">
        <f>IF(COUNTIFS($A:$A,A603,$E:E,E603)&gt;1,"NOK","OK")</f>
        <v>OK</v>
      </c>
      <c r="H603" s="11" t="str">
        <f t="shared" si="65"/>
        <v>OK</v>
      </c>
      <c r="I603" s="11" t="str">
        <f t="shared" si="66"/>
        <v>OK</v>
      </c>
      <c r="J603" s="11" t="str">
        <f t="shared" si="67"/>
        <v>OK</v>
      </c>
      <c r="K603" s="11" t="str">
        <f t="shared" si="68"/>
        <v>OK</v>
      </c>
      <c r="R603" t="str">
        <f t="shared" si="69"/>
        <v>Keep</v>
      </c>
    </row>
    <row r="604" spans="1:18" ht="15">
      <c r="A604" s="23" t="s">
        <v>614</v>
      </c>
      <c r="B604" s="24" t="s">
        <v>7</v>
      </c>
      <c r="C604" s="24" t="s">
        <v>172</v>
      </c>
      <c r="D604" s="7">
        <v>279663</v>
      </c>
      <c r="E604" s="24" t="s">
        <v>16</v>
      </c>
      <c r="F604" s="11" t="str">
        <f t="shared" si="64"/>
        <v>OK</v>
      </c>
      <c r="G604" s="11" t="str">
        <f>IF(COUNTIFS($A:$A,A604,$E:E,E604)&gt;1,"NOK","OK")</f>
        <v>OK</v>
      </c>
      <c r="H604" s="11" t="str">
        <f t="shared" si="65"/>
        <v>OK</v>
      </c>
      <c r="I604" s="11" t="str">
        <f t="shared" si="66"/>
        <v>OK</v>
      </c>
      <c r="J604" s="11" t="str">
        <f t="shared" si="67"/>
        <v>OK</v>
      </c>
      <c r="K604" s="11" t="str">
        <f t="shared" si="68"/>
        <v>OK</v>
      </c>
      <c r="R604" t="str">
        <f t="shared" si="69"/>
        <v>Keep</v>
      </c>
    </row>
    <row r="605" spans="1:18" ht="15">
      <c r="A605" s="23" t="s">
        <v>615</v>
      </c>
      <c r="B605" s="24" t="s">
        <v>11</v>
      </c>
      <c r="C605" s="24" t="s">
        <v>172</v>
      </c>
      <c r="D605" s="7">
        <v>196925</v>
      </c>
      <c r="E605" s="24" t="s">
        <v>9</v>
      </c>
      <c r="F605" s="11" t="str">
        <f t="shared" si="64"/>
        <v>OK</v>
      </c>
      <c r="G605" s="11" t="str">
        <f>IF(COUNTIFS($A:$A,A605,$E:E,E605)&gt;1,"NOK","OK")</f>
        <v>OK</v>
      </c>
      <c r="H605" s="11" t="str">
        <f t="shared" si="65"/>
        <v>OK</v>
      </c>
      <c r="I605" s="11" t="str">
        <f t="shared" si="66"/>
        <v>OK</v>
      </c>
      <c r="J605" s="11" t="str">
        <f t="shared" si="67"/>
        <v>OK</v>
      </c>
      <c r="K605" s="11" t="str">
        <f t="shared" si="68"/>
        <v>OK</v>
      </c>
      <c r="R605" t="str">
        <f t="shared" si="69"/>
        <v>Keep</v>
      </c>
    </row>
    <row r="606" spans="1:18" ht="15">
      <c r="A606" s="23" t="s">
        <v>616</v>
      </c>
      <c r="B606" s="24" t="s">
        <v>7</v>
      </c>
      <c r="C606" s="24" t="s">
        <v>172</v>
      </c>
      <c r="D606" s="7">
        <v>217528</v>
      </c>
      <c r="E606" s="24" t="s">
        <v>16</v>
      </c>
      <c r="F606" s="11" t="str">
        <f t="shared" si="64"/>
        <v>OK</v>
      </c>
      <c r="G606" s="11" t="str">
        <f>IF(COUNTIFS($A:$A,A606,$E:E,E606)&gt;1,"NOK","OK")</f>
        <v>OK</v>
      </c>
      <c r="H606" s="11" t="str">
        <f t="shared" si="65"/>
        <v>OK</v>
      </c>
      <c r="I606" s="11" t="str">
        <f t="shared" si="66"/>
        <v>OK</v>
      </c>
      <c r="J606" s="11" t="str">
        <f t="shared" si="67"/>
        <v>OK</v>
      </c>
      <c r="K606" s="11" t="str">
        <f t="shared" si="68"/>
        <v>OK</v>
      </c>
      <c r="R606" t="str">
        <f t="shared" si="69"/>
        <v>Keep</v>
      </c>
    </row>
    <row r="607" spans="1:18" ht="15">
      <c r="A607" s="23" t="s">
        <v>617</v>
      </c>
      <c r="B607" s="24" t="s">
        <v>7</v>
      </c>
      <c r="C607" s="24" t="s">
        <v>172</v>
      </c>
      <c r="D607" s="7">
        <v>89050</v>
      </c>
      <c r="E607" s="24" t="s">
        <v>16</v>
      </c>
      <c r="F607" s="11" t="str">
        <f t="shared" si="64"/>
        <v>OK</v>
      </c>
      <c r="G607" s="11" t="str">
        <f>IF(COUNTIFS($A:$A,A607,$E:E,E607)&gt;1,"NOK","OK")</f>
        <v>OK</v>
      </c>
      <c r="H607" s="11" t="str">
        <f t="shared" si="65"/>
        <v>OK</v>
      </c>
      <c r="I607" s="11" t="str">
        <f t="shared" si="66"/>
        <v>OK</v>
      </c>
      <c r="J607" s="11" t="str">
        <f t="shared" si="67"/>
        <v>OK</v>
      </c>
      <c r="K607" s="11" t="str">
        <f t="shared" si="68"/>
        <v>OK</v>
      </c>
      <c r="R607" t="str">
        <f t="shared" si="69"/>
        <v>Keep</v>
      </c>
    </row>
    <row r="608" spans="1:18" ht="15">
      <c r="A608" s="23" t="s">
        <v>618</v>
      </c>
      <c r="B608" s="24" t="s">
        <v>11</v>
      </c>
      <c r="C608" s="24" t="s">
        <v>172</v>
      </c>
      <c r="D608" s="7">
        <v>176489</v>
      </c>
      <c r="E608" s="24" t="s">
        <v>9</v>
      </c>
      <c r="F608" s="11" t="str">
        <f t="shared" si="64"/>
        <v>OK</v>
      </c>
      <c r="G608" s="11" t="str">
        <f>IF(COUNTIFS($A:$A,A608,$E:E,E608)&gt;1,"NOK","OK")</f>
        <v>OK</v>
      </c>
      <c r="H608" s="11" t="str">
        <f t="shared" si="65"/>
        <v>OK</v>
      </c>
      <c r="I608" s="11" t="str">
        <f t="shared" si="66"/>
        <v>OK</v>
      </c>
      <c r="J608" s="11" t="str">
        <f t="shared" si="67"/>
        <v>OK</v>
      </c>
      <c r="K608" s="11" t="str">
        <f t="shared" si="68"/>
        <v>OK</v>
      </c>
      <c r="R608" t="str">
        <f t="shared" si="69"/>
        <v>Keep</v>
      </c>
    </row>
    <row r="609" spans="1:18" ht="15">
      <c r="A609" s="23" t="s">
        <v>619</v>
      </c>
      <c r="B609" s="24" t="s">
        <v>7</v>
      </c>
      <c r="C609" s="24" t="s">
        <v>172</v>
      </c>
      <c r="D609" s="7">
        <v>299491</v>
      </c>
      <c r="E609" s="24" t="s">
        <v>12</v>
      </c>
      <c r="F609" s="11" t="str">
        <f t="shared" si="64"/>
        <v>OK</v>
      </c>
      <c r="G609" s="11" t="str">
        <f>IF(COUNTIFS($A:$A,A609,$E:E,E609)&gt;1,"NOK","OK")</f>
        <v>OK</v>
      </c>
      <c r="H609" s="11" t="str">
        <f t="shared" si="65"/>
        <v>OK</v>
      </c>
      <c r="I609" s="11" t="str">
        <f t="shared" si="66"/>
        <v>OK</v>
      </c>
      <c r="J609" s="11" t="str">
        <f t="shared" si="67"/>
        <v>OK</v>
      </c>
      <c r="K609" s="11" t="str">
        <f t="shared" si="68"/>
        <v>OK</v>
      </c>
      <c r="R609" t="str">
        <f t="shared" si="69"/>
        <v>Keep</v>
      </c>
    </row>
    <row r="610" spans="1:18" ht="15">
      <c r="A610" s="23" t="s">
        <v>620</v>
      </c>
      <c r="B610" s="24" t="s">
        <v>7</v>
      </c>
      <c r="C610" s="24" t="s">
        <v>172</v>
      </c>
      <c r="D610" s="7">
        <v>296475</v>
      </c>
      <c r="E610" s="24" t="s">
        <v>9</v>
      </c>
      <c r="F610" s="11" t="str">
        <f t="shared" si="64"/>
        <v>OK</v>
      </c>
      <c r="G610" s="11" t="str">
        <f>IF(COUNTIFS($A:$A,A610,$E:E,E610)&gt;1,"NOK","OK")</f>
        <v>OK</v>
      </c>
      <c r="H610" s="11" t="str">
        <f t="shared" si="65"/>
        <v>OK</v>
      </c>
      <c r="I610" s="11" t="str">
        <f t="shared" si="66"/>
        <v>OK</v>
      </c>
      <c r="J610" s="11" t="str">
        <f t="shared" si="67"/>
        <v>OK</v>
      </c>
      <c r="K610" s="11" t="str">
        <f t="shared" si="68"/>
        <v>OK</v>
      </c>
      <c r="R610" t="str">
        <f t="shared" si="69"/>
        <v>Keep</v>
      </c>
    </row>
    <row r="611" spans="1:18" ht="15">
      <c r="A611" s="23" t="s">
        <v>621</v>
      </c>
      <c r="B611" s="24" t="s">
        <v>7</v>
      </c>
      <c r="C611" s="24" t="s">
        <v>172</v>
      </c>
      <c r="D611" s="7">
        <v>85865</v>
      </c>
      <c r="E611" s="24" t="s">
        <v>9</v>
      </c>
      <c r="F611" s="11" t="str">
        <f t="shared" si="64"/>
        <v>OK</v>
      </c>
      <c r="G611" s="11" t="str">
        <f>IF(COUNTIFS($A:$A,A611,$E:E,E611)&gt;1,"NOK","OK")</f>
        <v>OK</v>
      </c>
      <c r="H611" s="11" t="str">
        <f t="shared" si="65"/>
        <v>OK</v>
      </c>
      <c r="I611" s="11" t="str">
        <f t="shared" si="66"/>
        <v>OK</v>
      </c>
      <c r="J611" s="11" t="str">
        <f t="shared" si="67"/>
        <v>OK</v>
      </c>
      <c r="K611" s="11" t="str">
        <f t="shared" si="68"/>
        <v>OK</v>
      </c>
      <c r="R611" t="str">
        <f t="shared" si="69"/>
        <v>Keep</v>
      </c>
    </row>
    <row r="612" spans="1:18" ht="15">
      <c r="A612" s="23" t="s">
        <v>622</v>
      </c>
      <c r="B612" s="24" t="s">
        <v>7</v>
      </c>
      <c r="C612" s="24" t="s">
        <v>172</v>
      </c>
      <c r="D612" s="7">
        <v>178244</v>
      </c>
      <c r="E612" s="24" t="s">
        <v>9</v>
      </c>
      <c r="F612" s="11" t="str">
        <f t="shared" si="64"/>
        <v>OK</v>
      </c>
      <c r="G612" s="11" t="str">
        <f>IF(COUNTIFS($A:$A,A612,$E:E,E612)&gt;1,"NOK","OK")</f>
        <v>OK</v>
      </c>
      <c r="H612" s="11" t="str">
        <f t="shared" si="65"/>
        <v>OK</v>
      </c>
      <c r="I612" s="11" t="str">
        <f t="shared" si="66"/>
        <v>OK</v>
      </c>
      <c r="J612" s="11" t="str">
        <f t="shared" si="67"/>
        <v>OK</v>
      </c>
      <c r="K612" s="11" t="str">
        <f t="shared" si="68"/>
        <v>OK</v>
      </c>
      <c r="R612" t="str">
        <f t="shared" si="69"/>
        <v>Keep</v>
      </c>
    </row>
    <row r="613" spans="1:18" ht="15">
      <c r="A613" s="23" t="s">
        <v>623</v>
      </c>
      <c r="B613" s="24" t="s">
        <v>7</v>
      </c>
      <c r="C613" s="24" t="s">
        <v>172</v>
      </c>
      <c r="D613" s="7">
        <v>130281</v>
      </c>
      <c r="E613" s="24" t="s">
        <v>16</v>
      </c>
      <c r="F613" s="11" t="str">
        <f t="shared" si="64"/>
        <v>OK</v>
      </c>
      <c r="G613" s="11" t="str">
        <f>IF(COUNTIFS($A:$A,A613,$E:E,E613)&gt;1,"NOK","OK")</f>
        <v>OK</v>
      </c>
      <c r="H613" s="11" t="str">
        <f t="shared" si="65"/>
        <v>OK</v>
      </c>
      <c r="I613" s="11" t="str">
        <f t="shared" si="66"/>
        <v>OK</v>
      </c>
      <c r="J613" s="11" t="str">
        <f t="shared" si="67"/>
        <v>OK</v>
      </c>
      <c r="K613" s="11" t="str">
        <f t="shared" si="68"/>
        <v>OK</v>
      </c>
      <c r="R613" t="str">
        <f t="shared" si="69"/>
        <v>Keep</v>
      </c>
    </row>
    <row r="614" spans="1:18" ht="15">
      <c r="A614" s="23" t="s">
        <v>624</v>
      </c>
      <c r="B614" s="24" t="s">
        <v>7</v>
      </c>
      <c r="C614" s="24" t="s">
        <v>172</v>
      </c>
      <c r="D614" s="7">
        <v>277839</v>
      </c>
      <c r="E614" s="24" t="s">
        <v>12</v>
      </c>
      <c r="F614" s="11" t="str">
        <f t="shared" si="64"/>
        <v>OK</v>
      </c>
      <c r="G614" s="11" t="str">
        <f>IF(COUNTIFS($A:$A,A614,$E:E,E614)&gt;1,"NOK","OK")</f>
        <v>OK</v>
      </c>
      <c r="H614" s="11" t="str">
        <f t="shared" si="65"/>
        <v>OK</v>
      </c>
      <c r="I614" s="11" t="str">
        <f t="shared" si="66"/>
        <v>OK</v>
      </c>
      <c r="J614" s="11" t="str">
        <f t="shared" si="67"/>
        <v>OK</v>
      </c>
      <c r="K614" s="11" t="str">
        <f t="shared" si="68"/>
        <v>OK</v>
      </c>
      <c r="R614" t="str">
        <f t="shared" si="69"/>
        <v>Keep</v>
      </c>
    </row>
    <row r="615" spans="1:18" ht="15">
      <c r="A615" s="23" t="s">
        <v>625</v>
      </c>
      <c r="B615" s="24" t="s">
        <v>25</v>
      </c>
      <c r="C615" s="24" t="s">
        <v>172</v>
      </c>
      <c r="D615" s="7">
        <v>191529</v>
      </c>
      <c r="E615" s="24" t="s">
        <v>16</v>
      </c>
      <c r="F615" s="11" t="str">
        <f t="shared" si="64"/>
        <v>OK</v>
      </c>
      <c r="G615" s="11" t="str">
        <f>IF(COUNTIFS($A:$A,A615,$E:E,E615)&gt;1,"NOK","OK")</f>
        <v>OK</v>
      </c>
      <c r="H615" s="11" t="str">
        <f t="shared" si="65"/>
        <v>OK</v>
      </c>
      <c r="I615" s="11" t="str">
        <f t="shared" si="66"/>
        <v>OK</v>
      </c>
      <c r="J615" s="11" t="str">
        <f t="shared" si="67"/>
        <v>OK</v>
      </c>
      <c r="K615" s="11" t="str">
        <f t="shared" si="68"/>
        <v>OK</v>
      </c>
      <c r="R615" t="str">
        <f t="shared" si="69"/>
        <v>Keep</v>
      </c>
    </row>
    <row r="616" spans="1:18" ht="15">
      <c r="A616" s="23" t="s">
        <v>626</v>
      </c>
      <c r="B616" s="24" t="s">
        <v>7</v>
      </c>
      <c r="C616" s="24" t="s">
        <v>172</v>
      </c>
      <c r="D616" s="7">
        <v>148063</v>
      </c>
      <c r="E616" s="24" t="s">
        <v>16</v>
      </c>
      <c r="F616" s="11" t="str">
        <f t="shared" si="64"/>
        <v>OK</v>
      </c>
      <c r="G616" s="11" t="str">
        <f>IF(COUNTIFS($A:$A,A616,$E:E,E616)&gt;1,"NOK","OK")</f>
        <v>OK</v>
      </c>
      <c r="H616" s="11" t="str">
        <f t="shared" si="65"/>
        <v>OK</v>
      </c>
      <c r="I616" s="11" t="str">
        <f t="shared" si="66"/>
        <v>OK</v>
      </c>
      <c r="J616" s="11" t="str">
        <f t="shared" si="67"/>
        <v>OK</v>
      </c>
      <c r="K616" s="11" t="str">
        <f t="shared" si="68"/>
        <v>OK</v>
      </c>
      <c r="R616" t="str">
        <f t="shared" si="69"/>
        <v>Keep</v>
      </c>
    </row>
    <row r="617" spans="1:18" ht="15">
      <c r="A617" s="23" t="s">
        <v>627</v>
      </c>
      <c r="B617" s="24" t="s">
        <v>11</v>
      </c>
      <c r="C617" s="24" t="s">
        <v>172</v>
      </c>
      <c r="D617" s="7">
        <v>160602</v>
      </c>
      <c r="E617" s="24" t="s">
        <v>12</v>
      </c>
      <c r="F617" s="11" t="str">
        <f t="shared" si="64"/>
        <v>OK</v>
      </c>
      <c r="G617" s="11" t="str">
        <f>IF(COUNTIFS($A:$A,A617,$E:E,E617)&gt;1,"NOK","OK")</f>
        <v>OK</v>
      </c>
      <c r="H617" s="11" t="str">
        <f t="shared" si="65"/>
        <v>OK</v>
      </c>
      <c r="I617" s="11" t="str">
        <f t="shared" si="66"/>
        <v>OK</v>
      </c>
      <c r="J617" s="11" t="str">
        <f t="shared" si="67"/>
        <v>OK</v>
      </c>
      <c r="K617" s="11" t="str">
        <f t="shared" si="68"/>
        <v>OK</v>
      </c>
      <c r="R617" t="str">
        <f t="shared" si="69"/>
        <v>Keep</v>
      </c>
    </row>
    <row r="618" spans="1:18" ht="15">
      <c r="A618" s="23" t="s">
        <v>628</v>
      </c>
      <c r="B618" s="24" t="s">
        <v>7</v>
      </c>
      <c r="C618" s="24" t="s">
        <v>172</v>
      </c>
      <c r="D618" s="7">
        <v>229262</v>
      </c>
      <c r="E618" s="24" t="s">
        <v>9</v>
      </c>
      <c r="F618" s="11" t="str">
        <f t="shared" si="64"/>
        <v>OK</v>
      </c>
      <c r="G618" s="11" t="str">
        <f>IF(COUNTIFS($A:$A,A618,$E:E,E618)&gt;1,"NOK","OK")</f>
        <v>OK</v>
      </c>
      <c r="H618" s="11" t="str">
        <f t="shared" si="65"/>
        <v>OK</v>
      </c>
      <c r="I618" s="11" t="str">
        <f t="shared" si="66"/>
        <v>OK</v>
      </c>
      <c r="J618" s="11" t="str">
        <f t="shared" si="67"/>
        <v>OK</v>
      </c>
      <c r="K618" s="11" t="str">
        <f t="shared" si="68"/>
        <v>OK</v>
      </c>
      <c r="R618" t="str">
        <f t="shared" si="69"/>
        <v>Keep</v>
      </c>
    </row>
    <row r="619" spans="1:18" ht="15">
      <c r="A619" s="23" t="s">
        <v>629</v>
      </c>
      <c r="B619" s="24" t="s">
        <v>7</v>
      </c>
      <c r="C619" s="24" t="s">
        <v>172</v>
      </c>
      <c r="D619" s="7">
        <v>297506</v>
      </c>
      <c r="E619" s="24" t="s">
        <v>16</v>
      </c>
      <c r="F619" s="11" t="str">
        <f t="shared" si="64"/>
        <v>OK</v>
      </c>
      <c r="G619" s="11" t="str">
        <f>IF(COUNTIFS($A:$A,A619,$E:E,E619)&gt;1,"NOK","OK")</f>
        <v>OK</v>
      </c>
      <c r="H619" s="11" t="str">
        <f t="shared" si="65"/>
        <v>OK</v>
      </c>
      <c r="I619" s="11" t="str">
        <f t="shared" si="66"/>
        <v>OK</v>
      </c>
      <c r="J619" s="11" t="str">
        <f t="shared" si="67"/>
        <v>OK</v>
      </c>
      <c r="K619" s="11" t="str">
        <f t="shared" si="68"/>
        <v>OK</v>
      </c>
      <c r="R619" t="str">
        <f t="shared" si="69"/>
        <v>Keep</v>
      </c>
    </row>
    <row r="620" spans="1:18" ht="15">
      <c r="A620" s="23" t="s">
        <v>630</v>
      </c>
      <c r="B620" s="24" t="s">
        <v>7</v>
      </c>
      <c r="C620" s="24" t="s">
        <v>172</v>
      </c>
      <c r="D620" s="7">
        <v>218522</v>
      </c>
      <c r="E620" s="24" t="s">
        <v>16</v>
      </c>
      <c r="F620" s="11" t="str">
        <f t="shared" si="64"/>
        <v>OK</v>
      </c>
      <c r="G620" s="11" t="str">
        <f>IF(COUNTIFS($A:$A,A620,$E:E,E620)&gt;1,"NOK","OK")</f>
        <v>OK</v>
      </c>
      <c r="H620" s="11" t="str">
        <f t="shared" si="65"/>
        <v>OK</v>
      </c>
      <c r="I620" s="11" t="str">
        <f t="shared" si="66"/>
        <v>OK</v>
      </c>
      <c r="J620" s="11" t="str">
        <f t="shared" si="67"/>
        <v>OK</v>
      </c>
      <c r="K620" s="11" t="str">
        <f t="shared" si="68"/>
        <v>OK</v>
      </c>
      <c r="R620" t="str">
        <f t="shared" si="69"/>
        <v>Keep</v>
      </c>
    </row>
    <row r="621" spans="1:18" ht="15">
      <c r="A621" s="23" t="s">
        <v>631</v>
      </c>
      <c r="B621" s="24" t="s">
        <v>7</v>
      </c>
      <c r="C621" s="24" t="s">
        <v>172</v>
      </c>
      <c r="D621" s="7">
        <v>36797</v>
      </c>
      <c r="E621" s="24" t="s">
        <v>16</v>
      </c>
      <c r="F621" s="11" t="str">
        <f t="shared" si="64"/>
        <v>OK</v>
      </c>
      <c r="G621" s="11" t="str">
        <f>IF(COUNTIFS($A:$A,A621,$E:E,E621)&gt;1,"NOK","OK")</f>
        <v>OK</v>
      </c>
      <c r="H621" s="11" t="str">
        <f t="shared" si="65"/>
        <v>OK</v>
      </c>
      <c r="I621" s="11" t="str">
        <f t="shared" si="66"/>
        <v>OK</v>
      </c>
      <c r="J621" s="11" t="str">
        <f t="shared" si="67"/>
        <v>OK</v>
      </c>
      <c r="K621" s="11" t="str">
        <f t="shared" si="68"/>
        <v>OK</v>
      </c>
      <c r="R621" t="str">
        <f t="shared" si="69"/>
        <v>Keep</v>
      </c>
    </row>
    <row r="622" spans="1:18" ht="15">
      <c r="A622" s="23" t="s">
        <v>632</v>
      </c>
      <c r="B622" s="24" t="s">
        <v>7</v>
      </c>
      <c r="C622" s="24" t="s">
        <v>172</v>
      </c>
      <c r="D622" s="7">
        <v>290039</v>
      </c>
      <c r="E622" s="24" t="s">
        <v>9</v>
      </c>
      <c r="F622" s="11" t="str">
        <f t="shared" si="64"/>
        <v>OK</v>
      </c>
      <c r="G622" s="11" t="str">
        <f>IF(COUNTIFS($A:$A,A622,$E:E,E622)&gt;1,"NOK","OK")</f>
        <v>OK</v>
      </c>
      <c r="H622" s="11" t="str">
        <f t="shared" si="65"/>
        <v>OK</v>
      </c>
      <c r="I622" s="11" t="str">
        <f t="shared" si="66"/>
        <v>OK</v>
      </c>
      <c r="J622" s="11" t="str">
        <f t="shared" si="67"/>
        <v>OK</v>
      </c>
      <c r="K622" s="11" t="str">
        <f t="shared" si="68"/>
        <v>OK</v>
      </c>
      <c r="R622" t="str">
        <f t="shared" si="69"/>
        <v>Keep</v>
      </c>
    </row>
    <row r="623" spans="1:18" ht="15">
      <c r="A623" s="23" t="s">
        <v>633</v>
      </c>
      <c r="B623" s="24" t="s">
        <v>7</v>
      </c>
      <c r="C623" s="24" t="s">
        <v>172</v>
      </c>
      <c r="D623" s="7">
        <v>276041</v>
      </c>
      <c r="E623" s="24" t="s">
        <v>9</v>
      </c>
      <c r="F623" s="11" t="str">
        <f t="shared" si="64"/>
        <v>OK</v>
      </c>
      <c r="G623" s="11" t="str">
        <f>IF(COUNTIFS($A:$A,A623,$E:E,E623)&gt;1,"NOK","OK")</f>
        <v>OK</v>
      </c>
      <c r="H623" s="11" t="str">
        <f t="shared" si="65"/>
        <v>OK</v>
      </c>
      <c r="I623" s="11" t="str">
        <f t="shared" si="66"/>
        <v>OK</v>
      </c>
      <c r="J623" s="11" t="str">
        <f t="shared" si="67"/>
        <v>OK</v>
      </c>
      <c r="K623" s="11" t="str">
        <f t="shared" si="68"/>
        <v>OK</v>
      </c>
      <c r="R623" t="str">
        <f t="shared" si="69"/>
        <v>Keep</v>
      </c>
    </row>
    <row r="624" spans="1:18" ht="15">
      <c r="A624" s="23" t="s">
        <v>634</v>
      </c>
      <c r="B624" s="24" t="s">
        <v>11</v>
      </c>
      <c r="C624" s="24" t="s">
        <v>172</v>
      </c>
      <c r="D624" s="7">
        <v>31695</v>
      </c>
      <c r="E624" s="24" t="s">
        <v>16</v>
      </c>
      <c r="F624" s="11" t="str">
        <f t="shared" si="64"/>
        <v>OK</v>
      </c>
      <c r="G624" s="11" t="str">
        <f>IF(COUNTIFS($A:$A,A624,$E:E,E624)&gt;1,"NOK","OK")</f>
        <v>OK</v>
      </c>
      <c r="H624" s="11" t="str">
        <f t="shared" si="65"/>
        <v>OK</v>
      </c>
      <c r="I624" s="11" t="str">
        <f t="shared" si="66"/>
        <v>OK</v>
      </c>
      <c r="J624" s="11" t="str">
        <f t="shared" si="67"/>
        <v>OK</v>
      </c>
      <c r="K624" s="11" t="str">
        <f t="shared" si="68"/>
        <v>OK</v>
      </c>
      <c r="R624" t="str">
        <f t="shared" si="69"/>
        <v>Keep</v>
      </c>
    </row>
    <row r="625" spans="1:18" ht="15">
      <c r="A625" s="23" t="s">
        <v>635</v>
      </c>
      <c r="B625" s="24" t="s">
        <v>7</v>
      </c>
      <c r="C625" s="24" t="s">
        <v>172</v>
      </c>
      <c r="D625" s="7">
        <v>108424</v>
      </c>
      <c r="E625" s="24" t="s">
        <v>16</v>
      </c>
      <c r="F625" s="11" t="str">
        <f t="shared" si="64"/>
        <v>OK</v>
      </c>
      <c r="G625" s="11" t="str">
        <f>IF(COUNTIFS($A:$A,A625,$E:E,E625)&gt;1,"NOK","OK")</f>
        <v>OK</v>
      </c>
      <c r="H625" s="11" t="str">
        <f t="shared" si="65"/>
        <v>OK</v>
      </c>
      <c r="I625" s="11" t="str">
        <f t="shared" si="66"/>
        <v>OK</v>
      </c>
      <c r="J625" s="11" t="str">
        <f t="shared" si="67"/>
        <v>OK</v>
      </c>
      <c r="K625" s="11" t="str">
        <f t="shared" si="68"/>
        <v>OK</v>
      </c>
      <c r="R625" t="str">
        <f t="shared" si="69"/>
        <v>Keep</v>
      </c>
    </row>
    <row r="626" spans="1:18" ht="15">
      <c r="A626" s="23" t="s">
        <v>636</v>
      </c>
      <c r="B626" s="24" t="s">
        <v>11</v>
      </c>
      <c r="C626" s="24" t="s">
        <v>172</v>
      </c>
      <c r="D626" s="7">
        <v>271697</v>
      </c>
      <c r="E626" s="24" t="s">
        <v>9</v>
      </c>
      <c r="F626" s="11" t="str">
        <f t="shared" si="64"/>
        <v>OK</v>
      </c>
      <c r="G626" s="11" t="str">
        <f>IF(COUNTIFS($A:$A,A626,$E:E,E626)&gt;1,"NOK","OK")</f>
        <v>OK</v>
      </c>
      <c r="H626" s="11" t="str">
        <f t="shared" si="65"/>
        <v>OK</v>
      </c>
      <c r="I626" s="11" t="str">
        <f t="shared" si="66"/>
        <v>OK</v>
      </c>
      <c r="J626" s="11" t="str">
        <f t="shared" si="67"/>
        <v>OK</v>
      </c>
      <c r="K626" s="11" t="str">
        <f t="shared" si="68"/>
        <v>OK</v>
      </c>
      <c r="R626" t="str">
        <f t="shared" si="69"/>
        <v>Keep</v>
      </c>
    </row>
    <row r="627" spans="1:18" ht="15">
      <c r="A627" s="25" t="s">
        <v>637</v>
      </c>
      <c r="B627" s="26" t="s">
        <v>11</v>
      </c>
      <c r="C627" s="24" t="s">
        <v>172</v>
      </c>
      <c r="D627" s="8">
        <v>204627</v>
      </c>
      <c r="E627" s="24" t="s">
        <v>9</v>
      </c>
      <c r="F627" s="11" t="str">
        <f t="shared" si="64"/>
        <v>OK</v>
      </c>
      <c r="G627" s="11" t="str">
        <f>IF(COUNTIFS($A:$A,A627,$E:E,E627)&gt;1,"NOK","OK")</f>
        <v>OK</v>
      </c>
      <c r="H627" s="11" t="str">
        <f t="shared" si="65"/>
        <v>OK</v>
      </c>
      <c r="I627" s="11" t="str">
        <f t="shared" si="66"/>
        <v>OK</v>
      </c>
      <c r="J627" s="11" t="str">
        <f t="shared" si="67"/>
        <v>OK</v>
      </c>
      <c r="K627" s="11" t="str">
        <f t="shared" si="68"/>
        <v>OK</v>
      </c>
      <c r="R627" t="str">
        <f t="shared" si="69"/>
        <v>Keep</v>
      </c>
    </row>
    <row r="628" spans="1:18" ht="15">
      <c r="A628" s="9"/>
      <c r="B628" s="9"/>
      <c r="C628" s="9"/>
      <c r="D628" s="10"/>
      <c r="E628" s="9"/>
      <c r="F628" s="11" t="str">
        <f t="shared" si="64"/>
        <v>NOK</v>
      </c>
      <c r="G628" s="11" t="str">
        <f>IF(COUNTIFS($A:$A,A628,$E:E,E628)&gt;1,"NOK","OK")</f>
        <v>OK</v>
      </c>
      <c r="H628" s="11" t="str">
        <f t="shared" si="65"/>
        <v>NOK</v>
      </c>
      <c r="I628" s="11" t="str">
        <f t="shared" si="66"/>
        <v>NOK</v>
      </c>
      <c r="J628" s="11" t="str">
        <f t="shared" si="67"/>
        <v>NOK</v>
      </c>
      <c r="K628" s="11" t="str">
        <f t="shared" si="68"/>
        <v>NOK</v>
      </c>
      <c r="R628" t="str">
        <f t="shared" si="69"/>
        <v>Hide</v>
      </c>
    </row>
    <row r="629" spans="1:18" ht="15">
      <c r="A629" s="9"/>
      <c r="B629" s="9"/>
      <c r="C629" s="9"/>
      <c r="D629" s="10"/>
      <c r="E629" s="9"/>
      <c r="F629" s="11" t="str">
        <f t="shared" si="64"/>
        <v>NOK</v>
      </c>
      <c r="G629" s="11" t="str">
        <f>IF(COUNTIFS($A:$A,A629,$E:E,E629)&gt;1,"NOK","OK")</f>
        <v>OK</v>
      </c>
      <c r="H629" s="11" t="str">
        <f t="shared" si="65"/>
        <v>NOK</v>
      </c>
      <c r="I629" s="11" t="str">
        <f t="shared" si="66"/>
        <v>NOK</v>
      </c>
      <c r="J629" s="11" t="str">
        <f t="shared" si="67"/>
        <v>NOK</v>
      </c>
      <c r="K629" s="11" t="str">
        <f t="shared" si="68"/>
        <v>NOK</v>
      </c>
      <c r="R629" t="str">
        <f t="shared" ref="R629:R631" si="70">IF(COUNTIF(F628:L628, "NOK") &gt; 0, "Hide", "Keep")</f>
        <v>Hide</v>
      </c>
    </row>
    <row r="630" spans="1:18" ht="15">
      <c r="A630" s="9"/>
      <c r="B630" s="9"/>
      <c r="C630" s="9"/>
      <c r="D630" s="10"/>
      <c r="E630" s="9"/>
      <c r="F630" s="11" t="str">
        <f t="shared" si="64"/>
        <v>NOK</v>
      </c>
      <c r="G630" s="11" t="str">
        <f>IF(COUNTIFS($A:$A,A630,$E:E,E630)&gt;1,"NOK","OK")</f>
        <v>OK</v>
      </c>
      <c r="H630" s="11" t="str">
        <f t="shared" si="65"/>
        <v>NOK</v>
      </c>
      <c r="I630" s="11" t="str">
        <f t="shared" si="66"/>
        <v>NOK</v>
      </c>
      <c r="J630" s="11" t="str">
        <f t="shared" si="67"/>
        <v>NOK</v>
      </c>
      <c r="K630" s="11" t="str">
        <f t="shared" si="68"/>
        <v>NOK</v>
      </c>
      <c r="R630" t="str">
        <f t="shared" si="70"/>
        <v>Hide</v>
      </c>
    </row>
    <row r="631" spans="1:18" ht="15">
      <c r="A631" s="9"/>
      <c r="B631" s="9"/>
      <c r="C631" s="9"/>
      <c r="D631" s="10"/>
      <c r="E631" s="9"/>
      <c r="F631" s="11" t="str">
        <f t="shared" si="64"/>
        <v>NOK</v>
      </c>
      <c r="G631" s="11" t="str">
        <f>IF(COUNTIFS($A:$A,A631,$E:E,E631)&gt;1,"NOK","OK")</f>
        <v>OK</v>
      </c>
      <c r="H631" s="11" t="str">
        <f t="shared" si="65"/>
        <v>NOK</v>
      </c>
      <c r="I631" s="11" t="str">
        <f t="shared" si="66"/>
        <v>NOK</v>
      </c>
      <c r="J631" s="11" t="str">
        <f t="shared" si="67"/>
        <v>NOK</v>
      </c>
      <c r="K631" s="11" t="str">
        <f t="shared" si="68"/>
        <v>NOK</v>
      </c>
      <c r="R631" t="str">
        <f t="shared" si="70"/>
        <v>Hide</v>
      </c>
    </row>
  </sheetData>
  <autoFilter ref="A2:R631" xr:uid="{00000000-0001-0000-0100-000000000000}"/>
  <mergeCells count="8">
    <mergeCell ref="N10:P10"/>
    <mergeCell ref="M6:P6"/>
    <mergeCell ref="A1:E1"/>
    <mergeCell ref="F1:K1"/>
    <mergeCell ref="L1:Q1"/>
    <mergeCell ref="N7:P7"/>
    <mergeCell ref="N8:P8"/>
    <mergeCell ref="N9:P9"/>
  </mergeCells>
  <conditionalFormatting sqref="F3:K631">
    <cfRule type="containsText" dxfId="3" priority="1" operator="containsText" text="NOK">
      <formula>NOT(ISERROR(SEARCH("NOK",F3)))</formula>
    </cfRule>
    <cfRule type="containsText" dxfId="2" priority="2" operator="containsText" text="NOK">
      <formula>NOT(ISERROR(SEARCH("NOK",F3)))</formula>
    </cfRule>
    <cfRule type="containsText" dxfId="1" priority="3" operator="containsText" text="NOK">
      <formula>NOT(ISERROR(SEARCH("NOK",F3)))</formula>
    </cfRule>
    <cfRule type="containsText" dxfId="0" priority="4" operator="containsText" text="NOK">
      <formula>NOT(ISERROR(SEARCH("NOK",F3)))</formula>
    </cfRule>
  </conditionalFormatting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96832-AE11-40D1-9CBC-A9550240CA67}">
  <sheetPr>
    <tabColor rgb="FFCCCCCC"/>
  </sheetPr>
  <dimension ref="A1:E36"/>
  <sheetViews>
    <sheetView showGridLines="0" zoomScale="115" zoomScaleNormal="115" workbookViewId="0">
      <selection activeCell="C9" sqref="C9"/>
    </sheetView>
  </sheetViews>
  <sheetFormatPr defaultRowHeight="12.75"/>
  <cols>
    <col min="1" max="1" width="16.85546875" bestFit="1" customWidth="1"/>
    <col min="2" max="2" width="19.42578125" bestFit="1" customWidth="1"/>
    <col min="3" max="3" width="19" bestFit="1" customWidth="1"/>
    <col min="4" max="4" width="16.140625" bestFit="1" customWidth="1"/>
    <col min="5" max="5" width="6.28515625" bestFit="1" customWidth="1"/>
    <col min="6" max="6" width="4.42578125" customWidth="1"/>
    <col min="7" max="604" width="6.28515625" bestFit="1" customWidth="1"/>
    <col min="605" max="605" width="9.42578125" bestFit="1" customWidth="1"/>
    <col min="606" max="619" width="4" bestFit="1" customWidth="1"/>
    <col min="620" max="801" width="5" bestFit="1" customWidth="1"/>
    <col min="802" max="1207" width="6" bestFit="1" customWidth="1"/>
    <col min="1208" max="1208" width="17.5703125" bestFit="1" customWidth="1"/>
    <col min="1209" max="1209" width="14.7109375" bestFit="1" customWidth="1"/>
  </cols>
  <sheetData>
    <row r="1" spans="1:3" s="74" customFormat="1" ht="25.5" customHeight="1">
      <c r="A1" s="74" t="s">
        <v>687</v>
      </c>
    </row>
    <row r="2" spans="1:3" s="74" customFormat="1" ht="25.5" customHeight="1"/>
    <row r="4" spans="1:3" ht="15">
      <c r="A4" s="71" t="s">
        <v>662</v>
      </c>
      <c r="B4" s="71"/>
    </row>
    <row r="5" spans="1:3">
      <c r="A5" s="34" t="s">
        <v>666</v>
      </c>
      <c r="B5" t="s">
        <v>660</v>
      </c>
    </row>
    <row r="6" spans="1:3">
      <c r="A6" s="46" t="s">
        <v>9</v>
      </c>
      <c r="B6" s="54">
        <v>28365331</v>
      </c>
      <c r="C6" s="12"/>
    </row>
    <row r="7" spans="1:3">
      <c r="A7" s="49" t="s">
        <v>16</v>
      </c>
      <c r="B7" s="55">
        <v>30573187</v>
      </c>
    </row>
    <row r="8" spans="1:3">
      <c r="A8" s="51" t="s">
        <v>12</v>
      </c>
      <c r="B8" s="56">
        <v>32939710</v>
      </c>
    </row>
    <row r="9" spans="1:3">
      <c r="A9" s="72" t="s">
        <v>667</v>
      </c>
      <c r="B9" s="72"/>
    </row>
    <row r="10" spans="1:3">
      <c r="A10" s="72" t="s">
        <v>663</v>
      </c>
      <c r="B10" s="72"/>
    </row>
    <row r="11" spans="1:3">
      <c r="A11" s="72" t="s">
        <v>676</v>
      </c>
      <c r="B11" s="72"/>
    </row>
    <row r="12" spans="1:3">
      <c r="A12" s="32"/>
      <c r="B12" s="32"/>
    </row>
    <row r="13" spans="1:3" ht="15">
      <c r="A13" s="71" t="s">
        <v>664</v>
      </c>
      <c r="B13" s="71"/>
      <c r="C13" s="71"/>
    </row>
    <row r="14" spans="1:3">
      <c r="A14" s="34" t="s">
        <v>665</v>
      </c>
      <c r="B14" s="11" t="s">
        <v>671</v>
      </c>
      <c r="C14" s="11" t="s">
        <v>672</v>
      </c>
    </row>
    <row r="15" spans="1:3">
      <c r="A15" s="46" t="s">
        <v>8</v>
      </c>
      <c r="B15" s="47">
        <v>7.4842170443252351E-2</v>
      </c>
      <c r="C15" s="48">
        <v>48</v>
      </c>
    </row>
    <row r="16" spans="1:3">
      <c r="A16" s="49" t="s">
        <v>64</v>
      </c>
      <c r="B16" s="33">
        <v>2.695996705552484E-2</v>
      </c>
      <c r="C16" s="50">
        <v>17</v>
      </c>
    </row>
    <row r="17" spans="1:5">
      <c r="A17" s="49" t="s">
        <v>84</v>
      </c>
      <c r="B17" s="33">
        <v>7.3006828124721784E-2</v>
      </c>
      <c r="C17" s="50">
        <v>51</v>
      </c>
    </row>
    <row r="18" spans="1:5">
      <c r="A18" s="49" t="s">
        <v>138</v>
      </c>
      <c r="B18" s="33">
        <v>4.536544827573296E-2</v>
      </c>
      <c r="C18" s="50">
        <v>30</v>
      </c>
    </row>
    <row r="19" spans="1:5">
      <c r="A19" s="51" t="s">
        <v>172</v>
      </c>
      <c r="B19" s="52">
        <v>0.77982558610076802</v>
      </c>
      <c r="C19" s="53">
        <v>460</v>
      </c>
    </row>
    <row r="20" spans="1:5">
      <c r="A20" s="31" t="s">
        <v>661</v>
      </c>
      <c r="B20" s="33">
        <v>1</v>
      </c>
      <c r="C20" s="11">
        <v>606</v>
      </c>
    </row>
    <row r="21" spans="1:5">
      <c r="A21" s="72" t="s">
        <v>668</v>
      </c>
      <c r="B21" s="72"/>
      <c r="C21" s="72"/>
    </row>
    <row r="22" spans="1:5" ht="12.75" customHeight="1">
      <c r="A22" s="73" t="s">
        <v>669</v>
      </c>
      <c r="B22" s="73"/>
      <c r="C22" s="73"/>
      <c r="D22" s="73"/>
    </row>
    <row r="23" spans="1:5">
      <c r="A23" s="73"/>
      <c r="B23" s="73"/>
      <c r="C23" s="73"/>
      <c r="D23" s="73"/>
    </row>
    <row r="24" spans="1:5" ht="15">
      <c r="A24" s="71" t="s">
        <v>670</v>
      </c>
      <c r="B24" s="71"/>
      <c r="C24" s="71"/>
      <c r="D24" s="71"/>
    </row>
    <row r="25" spans="1:5" ht="12.75" customHeight="1">
      <c r="A25" s="30" t="s">
        <v>2</v>
      </c>
      <c r="B25" t="s">
        <v>678</v>
      </c>
      <c r="C25" t="s">
        <v>660</v>
      </c>
      <c r="D25" t="s">
        <v>673</v>
      </c>
    </row>
    <row r="26" spans="1:5">
      <c r="A26" s="35" t="s">
        <v>7</v>
      </c>
      <c r="B26" s="36">
        <v>368</v>
      </c>
      <c r="C26" s="37">
        <v>58453510</v>
      </c>
      <c r="D26" s="38">
        <v>0.63620632735755422</v>
      </c>
    </row>
    <row r="27" spans="1:5">
      <c r="A27" s="39" t="s">
        <v>11</v>
      </c>
      <c r="B27" s="11">
        <v>169</v>
      </c>
      <c r="C27" s="40">
        <v>25050527</v>
      </c>
      <c r="D27" s="41">
        <v>0.2726492178321071</v>
      </c>
    </row>
    <row r="28" spans="1:5">
      <c r="A28" s="39" t="s">
        <v>25</v>
      </c>
      <c r="B28" s="11">
        <v>46</v>
      </c>
      <c r="C28" s="40">
        <v>5424412</v>
      </c>
      <c r="D28" s="41">
        <v>5.903914472534233E-2</v>
      </c>
    </row>
    <row r="29" spans="1:5">
      <c r="A29" s="42" t="s">
        <v>237</v>
      </c>
      <c r="B29" s="43">
        <v>23</v>
      </c>
      <c r="C29" s="44">
        <v>2949779</v>
      </c>
      <c r="D29" s="45">
        <v>3.2105310084996418E-2</v>
      </c>
    </row>
    <row r="30" spans="1:5">
      <c r="A30" s="32" t="s">
        <v>674</v>
      </c>
    </row>
    <row r="31" spans="1:5">
      <c r="A31" s="70" t="s">
        <v>677</v>
      </c>
      <c r="B31" s="70"/>
      <c r="C31" s="70"/>
      <c r="D31" s="70"/>
      <c r="E31" s="70"/>
    </row>
    <row r="32" spans="1:5" ht="12.75" customHeight="1">
      <c r="A32" s="70" t="s">
        <v>675</v>
      </c>
      <c r="B32" s="70"/>
      <c r="C32" s="70"/>
      <c r="D32" s="70"/>
      <c r="E32" s="70"/>
    </row>
    <row r="33" spans="1:5">
      <c r="A33" s="70"/>
      <c r="B33" s="70"/>
      <c r="C33" s="70"/>
      <c r="D33" s="70"/>
      <c r="E33" s="70"/>
    </row>
    <row r="34" spans="1:5" ht="24.75" customHeight="1"/>
    <row r="35" spans="1:5" ht="26.25" customHeight="1"/>
    <row r="36" spans="1:5" ht="24.75" customHeight="1"/>
  </sheetData>
  <mergeCells count="11">
    <mergeCell ref="A4:B4"/>
    <mergeCell ref="A9:B9"/>
    <mergeCell ref="A10:B10"/>
    <mergeCell ref="A11:B11"/>
    <mergeCell ref="A1:XFD2"/>
    <mergeCell ref="A31:E31"/>
    <mergeCell ref="A13:C13"/>
    <mergeCell ref="A24:D24"/>
    <mergeCell ref="A32:E33"/>
    <mergeCell ref="A21:C21"/>
    <mergeCell ref="A22:D23"/>
  </mergeCells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EDC03-616D-4618-A636-D32E08DA1C5F}">
  <sheetPr>
    <tabColor rgb="FFCCCCCC"/>
  </sheetPr>
  <dimension ref="A1:I607"/>
  <sheetViews>
    <sheetView workbookViewId="0">
      <selection activeCell="H11" sqref="H11"/>
    </sheetView>
  </sheetViews>
  <sheetFormatPr defaultRowHeight="12.75"/>
  <cols>
    <col min="1" max="1" width="20.42578125" bestFit="1" customWidth="1"/>
    <col min="2" max="2" width="20.140625" customWidth="1"/>
    <col min="7" max="9" width="12.7109375" bestFit="1" customWidth="1"/>
  </cols>
  <sheetData>
    <row r="1" spans="1:9" ht="45">
      <c r="A1" s="14" t="s">
        <v>1</v>
      </c>
      <c r="B1" s="14" t="s">
        <v>2</v>
      </c>
      <c r="C1" s="14" t="s">
        <v>3</v>
      </c>
      <c r="D1" s="15" t="s">
        <v>4</v>
      </c>
      <c r="E1" s="15" t="s">
        <v>5</v>
      </c>
    </row>
    <row r="2" spans="1:9" ht="15">
      <c r="A2" s="20" t="s">
        <v>6</v>
      </c>
      <c r="B2" s="20" t="s">
        <v>7</v>
      </c>
      <c r="C2" s="20" t="s">
        <v>8</v>
      </c>
      <c r="D2" s="18">
        <v>292565</v>
      </c>
      <c r="E2" s="20" t="s">
        <v>9</v>
      </c>
    </row>
    <row r="3" spans="1:9" ht="15">
      <c r="A3" s="21" t="s">
        <v>10</v>
      </c>
      <c r="B3" s="22" t="s">
        <v>11</v>
      </c>
      <c r="C3" s="22" t="s">
        <v>8</v>
      </c>
      <c r="D3" s="6">
        <v>288042</v>
      </c>
      <c r="E3" s="22" t="s">
        <v>12</v>
      </c>
      <c r="G3" s="28" t="s">
        <v>9</v>
      </c>
      <c r="H3" s="28" t="s">
        <v>16</v>
      </c>
      <c r="I3" s="28" t="s">
        <v>12</v>
      </c>
    </row>
    <row r="4" spans="1:9" ht="15">
      <c r="A4" s="23" t="s">
        <v>13</v>
      </c>
      <c r="B4" s="24" t="s">
        <v>11</v>
      </c>
      <c r="C4" s="24" t="s">
        <v>8</v>
      </c>
      <c r="D4" s="7">
        <v>283760</v>
      </c>
      <c r="E4" s="24" t="s">
        <v>12</v>
      </c>
      <c r="G4" s="29">
        <f>SUMIF($E:$E,"FY23",$D:$D)</f>
        <v>28365331</v>
      </c>
      <c r="H4" s="29">
        <f>SUMIF($E:$E,"FY24",$D:$D)</f>
        <v>30573187</v>
      </c>
      <c r="I4" s="29">
        <f>SUMIF($E:$E,"FY25",$D:$D)</f>
        <v>32939710</v>
      </c>
    </row>
    <row r="5" spans="1:9" ht="15">
      <c r="A5" s="23" t="s">
        <v>14</v>
      </c>
      <c r="B5" s="24" t="s">
        <v>7</v>
      </c>
      <c r="C5" s="24" t="s">
        <v>8</v>
      </c>
      <c r="D5" s="7">
        <v>277762</v>
      </c>
      <c r="E5" s="24" t="s">
        <v>12</v>
      </c>
    </row>
    <row r="6" spans="1:9" ht="15">
      <c r="A6" s="23" t="s">
        <v>15</v>
      </c>
      <c r="B6" s="24" t="s">
        <v>11</v>
      </c>
      <c r="C6" s="24" t="s">
        <v>8</v>
      </c>
      <c r="D6" s="7">
        <v>272382</v>
      </c>
      <c r="E6" s="24" t="s">
        <v>16</v>
      </c>
    </row>
    <row r="7" spans="1:9" ht="15">
      <c r="A7" s="23" t="s">
        <v>17</v>
      </c>
      <c r="B7" s="24" t="s">
        <v>7</v>
      </c>
      <c r="C7" s="24" t="s">
        <v>8</v>
      </c>
      <c r="D7" s="7">
        <v>252435</v>
      </c>
      <c r="E7" s="24" t="s">
        <v>16</v>
      </c>
    </row>
    <row r="8" spans="1:9" ht="15">
      <c r="A8" s="23" t="s">
        <v>18</v>
      </c>
      <c r="B8" s="24" t="s">
        <v>7</v>
      </c>
      <c r="C8" s="24" t="s">
        <v>8</v>
      </c>
      <c r="D8" s="7">
        <v>251208</v>
      </c>
      <c r="E8" s="24" t="s">
        <v>16</v>
      </c>
    </row>
    <row r="9" spans="1:9" ht="15">
      <c r="A9" s="23" t="s">
        <v>19</v>
      </c>
      <c r="B9" s="24" t="s">
        <v>7</v>
      </c>
      <c r="C9" s="24" t="s">
        <v>8</v>
      </c>
      <c r="D9" s="7">
        <v>251067</v>
      </c>
      <c r="E9" s="24" t="s">
        <v>12</v>
      </c>
    </row>
    <row r="10" spans="1:9" ht="15">
      <c r="A10" s="23" t="s">
        <v>20</v>
      </c>
      <c r="B10" s="24" t="s">
        <v>7</v>
      </c>
      <c r="C10" s="24" t="s">
        <v>8</v>
      </c>
      <c r="D10" s="7">
        <v>249649</v>
      </c>
      <c r="E10" s="24" t="s">
        <v>9</v>
      </c>
    </row>
    <row r="11" spans="1:9" ht="15">
      <c r="A11" s="23" t="s">
        <v>21</v>
      </c>
      <c r="B11" s="24" t="s">
        <v>7</v>
      </c>
      <c r="C11" s="24" t="s">
        <v>8</v>
      </c>
      <c r="D11" s="7">
        <v>247792</v>
      </c>
      <c r="E11" s="24" t="s">
        <v>16</v>
      </c>
    </row>
    <row r="12" spans="1:9" ht="15">
      <c r="A12" s="23" t="s">
        <v>22</v>
      </c>
      <c r="B12" s="24" t="s">
        <v>11</v>
      </c>
      <c r="C12" s="24" t="s">
        <v>8</v>
      </c>
      <c r="D12" s="7">
        <v>247502</v>
      </c>
      <c r="E12" s="24" t="s">
        <v>12</v>
      </c>
    </row>
    <row r="13" spans="1:9" ht="15">
      <c r="A13" s="23" t="s">
        <v>23</v>
      </c>
      <c r="B13" s="24" t="s">
        <v>11</v>
      </c>
      <c r="C13" s="24" t="s">
        <v>8</v>
      </c>
      <c r="D13" s="7">
        <v>228344</v>
      </c>
      <c r="E13" s="24" t="s">
        <v>16</v>
      </c>
    </row>
    <row r="14" spans="1:9" ht="15">
      <c r="A14" s="23" t="s">
        <v>24</v>
      </c>
      <c r="B14" s="24" t="s">
        <v>25</v>
      </c>
      <c r="C14" s="24" t="s">
        <v>8</v>
      </c>
      <c r="D14" s="7">
        <v>223186</v>
      </c>
      <c r="E14" s="24" t="s">
        <v>16</v>
      </c>
    </row>
    <row r="15" spans="1:9" ht="15">
      <c r="A15" s="23" t="s">
        <v>26</v>
      </c>
      <c r="B15" s="24" t="s">
        <v>11</v>
      </c>
      <c r="C15" s="24" t="s">
        <v>8</v>
      </c>
      <c r="D15" s="7">
        <v>218640</v>
      </c>
      <c r="E15" s="24" t="s">
        <v>9</v>
      </c>
    </row>
    <row r="16" spans="1:9" ht="15">
      <c r="A16" s="23" t="s">
        <v>27</v>
      </c>
      <c r="B16" s="24" t="s">
        <v>7</v>
      </c>
      <c r="C16" s="24" t="s">
        <v>8</v>
      </c>
      <c r="D16" s="7">
        <v>211672</v>
      </c>
      <c r="E16" s="24" t="s">
        <v>16</v>
      </c>
    </row>
    <row r="17" spans="1:5" ht="15">
      <c r="A17" s="23" t="s">
        <v>28</v>
      </c>
      <c r="B17" s="24" t="s">
        <v>11</v>
      </c>
      <c r="C17" s="24" t="s">
        <v>8</v>
      </c>
      <c r="D17" s="7">
        <v>207974</v>
      </c>
      <c r="E17" s="24" t="s">
        <v>16</v>
      </c>
    </row>
    <row r="18" spans="1:5" ht="15">
      <c r="A18" s="23" t="s">
        <v>29</v>
      </c>
      <c r="B18" s="24" t="s">
        <v>7</v>
      </c>
      <c r="C18" s="24" t="s">
        <v>8</v>
      </c>
      <c r="D18" s="7">
        <v>203025</v>
      </c>
      <c r="E18" s="24" t="s">
        <v>16</v>
      </c>
    </row>
    <row r="19" spans="1:5" ht="15">
      <c r="A19" s="23" t="s">
        <v>30</v>
      </c>
      <c r="B19" s="24" t="s">
        <v>11</v>
      </c>
      <c r="C19" s="24" t="s">
        <v>8</v>
      </c>
      <c r="D19" s="7">
        <v>201645</v>
      </c>
      <c r="E19" s="24" t="s">
        <v>12</v>
      </c>
    </row>
    <row r="20" spans="1:5" ht="15">
      <c r="A20" s="23" t="s">
        <v>31</v>
      </c>
      <c r="B20" s="24" t="s">
        <v>25</v>
      </c>
      <c r="C20" s="24" t="s">
        <v>8</v>
      </c>
      <c r="D20" s="7">
        <v>186447</v>
      </c>
      <c r="E20" s="24" t="s">
        <v>16</v>
      </c>
    </row>
    <row r="21" spans="1:5" ht="15">
      <c r="A21" s="23" t="s">
        <v>34</v>
      </c>
      <c r="B21" s="24" t="s">
        <v>11</v>
      </c>
      <c r="C21" s="24" t="s">
        <v>8</v>
      </c>
      <c r="D21" s="7">
        <v>156333</v>
      </c>
      <c r="E21" s="24" t="s">
        <v>12</v>
      </c>
    </row>
    <row r="22" spans="1:5" ht="15">
      <c r="A22" s="23" t="s">
        <v>35</v>
      </c>
      <c r="B22" s="24" t="s">
        <v>7</v>
      </c>
      <c r="C22" s="24" t="s">
        <v>8</v>
      </c>
      <c r="D22" s="7">
        <v>156064</v>
      </c>
      <c r="E22" s="24" t="s">
        <v>12</v>
      </c>
    </row>
    <row r="23" spans="1:5" ht="15">
      <c r="A23" s="23" t="s">
        <v>36</v>
      </c>
      <c r="B23" s="24" t="s">
        <v>7</v>
      </c>
      <c r="C23" s="24" t="s">
        <v>8</v>
      </c>
      <c r="D23" s="7">
        <v>148563</v>
      </c>
      <c r="E23" s="24" t="s">
        <v>12</v>
      </c>
    </row>
    <row r="24" spans="1:5" ht="15">
      <c r="A24" s="23" t="s">
        <v>37</v>
      </c>
      <c r="B24" s="24" t="s">
        <v>11</v>
      </c>
      <c r="C24" s="24" t="s">
        <v>8</v>
      </c>
      <c r="D24" s="7">
        <v>125334</v>
      </c>
      <c r="E24" s="24" t="s">
        <v>12</v>
      </c>
    </row>
    <row r="25" spans="1:5" ht="15">
      <c r="A25" s="23" t="s">
        <v>38</v>
      </c>
      <c r="B25" s="24" t="s">
        <v>7</v>
      </c>
      <c r="C25" s="24" t="s">
        <v>8</v>
      </c>
      <c r="D25" s="7">
        <v>122007</v>
      </c>
      <c r="E25" s="24" t="s">
        <v>9</v>
      </c>
    </row>
    <row r="26" spans="1:5" ht="15">
      <c r="A26" s="23" t="s">
        <v>39</v>
      </c>
      <c r="B26" s="24" t="s">
        <v>11</v>
      </c>
      <c r="C26" s="24" t="s">
        <v>8</v>
      </c>
      <c r="D26" s="7">
        <v>114678</v>
      </c>
      <c r="E26" s="24" t="s">
        <v>12</v>
      </c>
    </row>
    <row r="27" spans="1:5" ht="15">
      <c r="A27" s="23" t="s">
        <v>40</v>
      </c>
      <c r="B27" s="24" t="s">
        <v>7</v>
      </c>
      <c r="C27" s="24" t="s">
        <v>8</v>
      </c>
      <c r="D27" s="7">
        <v>109108</v>
      </c>
      <c r="E27" s="24" t="s">
        <v>16</v>
      </c>
    </row>
    <row r="28" spans="1:5" ht="15">
      <c r="A28" s="23" t="s">
        <v>41</v>
      </c>
      <c r="B28" s="24" t="s">
        <v>7</v>
      </c>
      <c r="C28" s="24" t="s">
        <v>8</v>
      </c>
      <c r="D28" s="7">
        <v>105632</v>
      </c>
      <c r="E28" s="24" t="s">
        <v>12</v>
      </c>
    </row>
    <row r="29" spans="1:5" ht="15">
      <c r="A29" s="23" t="s">
        <v>42</v>
      </c>
      <c r="B29" s="24" t="s">
        <v>7</v>
      </c>
      <c r="C29" s="24" t="s">
        <v>8</v>
      </c>
      <c r="D29" s="7">
        <v>102800</v>
      </c>
      <c r="E29" s="24" t="s">
        <v>12</v>
      </c>
    </row>
    <row r="30" spans="1:5" ht="15">
      <c r="A30" s="23" t="s">
        <v>43</v>
      </c>
      <c r="B30" s="24" t="s">
        <v>11</v>
      </c>
      <c r="C30" s="24" t="s">
        <v>8</v>
      </c>
      <c r="D30" s="7">
        <v>90735</v>
      </c>
      <c r="E30" s="24" t="s">
        <v>9</v>
      </c>
    </row>
    <row r="31" spans="1:5" ht="15">
      <c r="A31" s="23" t="s">
        <v>44</v>
      </c>
      <c r="B31" s="24" t="s">
        <v>7</v>
      </c>
      <c r="C31" s="24" t="s">
        <v>8</v>
      </c>
      <c r="D31" s="7">
        <v>90382</v>
      </c>
      <c r="E31" s="24" t="s">
        <v>9</v>
      </c>
    </row>
    <row r="32" spans="1:5" ht="15">
      <c r="A32" s="23" t="s">
        <v>45</v>
      </c>
      <c r="B32" s="24" t="s">
        <v>25</v>
      </c>
      <c r="C32" s="24" t="s">
        <v>8</v>
      </c>
      <c r="D32" s="7">
        <v>89397</v>
      </c>
      <c r="E32" s="24" t="s">
        <v>9</v>
      </c>
    </row>
    <row r="33" spans="1:5" ht="15">
      <c r="A33" s="23" t="s">
        <v>46</v>
      </c>
      <c r="B33" s="24" t="s">
        <v>11</v>
      </c>
      <c r="C33" s="24" t="s">
        <v>8</v>
      </c>
      <c r="D33" s="7">
        <v>85240</v>
      </c>
      <c r="E33" s="24" t="s">
        <v>9</v>
      </c>
    </row>
    <row r="34" spans="1:5" ht="15">
      <c r="A34" s="23" t="s">
        <v>46</v>
      </c>
      <c r="B34" s="24" t="s">
        <v>11</v>
      </c>
      <c r="C34" s="24" t="s">
        <v>8</v>
      </c>
      <c r="D34" s="7">
        <v>85240</v>
      </c>
      <c r="E34" s="24" t="s">
        <v>16</v>
      </c>
    </row>
    <row r="35" spans="1:5" ht="15">
      <c r="A35" s="23" t="s">
        <v>48</v>
      </c>
      <c r="B35" s="24" t="s">
        <v>11</v>
      </c>
      <c r="C35" s="24" t="s">
        <v>8</v>
      </c>
      <c r="D35" s="7">
        <v>79583</v>
      </c>
      <c r="E35" s="24" t="s">
        <v>9</v>
      </c>
    </row>
    <row r="36" spans="1:5" ht="15">
      <c r="A36" s="23" t="s">
        <v>49</v>
      </c>
      <c r="B36" s="24" t="s">
        <v>7</v>
      </c>
      <c r="C36" s="24" t="s">
        <v>8</v>
      </c>
      <c r="D36" s="7">
        <v>77818</v>
      </c>
      <c r="E36" s="24" t="s">
        <v>9</v>
      </c>
    </row>
    <row r="37" spans="1:5" ht="15">
      <c r="A37" s="23" t="s">
        <v>50</v>
      </c>
      <c r="B37" s="24" t="s">
        <v>11</v>
      </c>
      <c r="C37" s="24" t="s">
        <v>8</v>
      </c>
      <c r="D37" s="7">
        <v>75792</v>
      </c>
      <c r="E37" s="24" t="s">
        <v>12</v>
      </c>
    </row>
    <row r="38" spans="1:5" ht="15">
      <c r="A38" s="23" t="s">
        <v>51</v>
      </c>
      <c r="B38" s="24" t="s">
        <v>7</v>
      </c>
      <c r="C38" s="24" t="s">
        <v>8</v>
      </c>
      <c r="D38" s="7">
        <v>70180</v>
      </c>
      <c r="E38" s="24" t="s">
        <v>12</v>
      </c>
    </row>
    <row r="39" spans="1:5" ht="15">
      <c r="A39" s="23" t="s">
        <v>52</v>
      </c>
      <c r="B39" s="24" t="s">
        <v>7</v>
      </c>
      <c r="C39" s="24" t="s">
        <v>8</v>
      </c>
      <c r="D39" s="7">
        <v>68567</v>
      </c>
      <c r="E39" s="24" t="s">
        <v>9</v>
      </c>
    </row>
    <row r="40" spans="1:5" ht="15">
      <c r="A40" s="23" t="s">
        <v>53</v>
      </c>
      <c r="B40" s="24" t="s">
        <v>25</v>
      </c>
      <c r="C40" s="24" t="s">
        <v>8</v>
      </c>
      <c r="D40" s="7">
        <v>65814</v>
      </c>
      <c r="E40" s="24" t="s">
        <v>16</v>
      </c>
    </row>
    <row r="41" spans="1:5" ht="15">
      <c r="A41" s="23" t="s">
        <v>54</v>
      </c>
      <c r="B41" s="24" t="s">
        <v>11</v>
      </c>
      <c r="C41" s="24" t="s">
        <v>8</v>
      </c>
      <c r="D41" s="7">
        <v>63174</v>
      </c>
      <c r="E41" s="24" t="s">
        <v>9</v>
      </c>
    </row>
    <row r="42" spans="1:5" ht="15">
      <c r="A42" s="23" t="s">
        <v>55</v>
      </c>
      <c r="B42" s="24" t="s">
        <v>7</v>
      </c>
      <c r="C42" s="24" t="s">
        <v>8</v>
      </c>
      <c r="D42" s="7">
        <v>59319</v>
      </c>
      <c r="E42" s="24" t="s">
        <v>12</v>
      </c>
    </row>
    <row r="43" spans="1:5" ht="15">
      <c r="A43" s="23" t="s">
        <v>56</v>
      </c>
      <c r="B43" s="24" t="s">
        <v>11</v>
      </c>
      <c r="C43" s="24" t="s">
        <v>8</v>
      </c>
      <c r="D43" s="7">
        <v>36780</v>
      </c>
      <c r="E43" s="24" t="s">
        <v>12</v>
      </c>
    </row>
    <row r="44" spans="1:5" ht="15">
      <c r="A44" s="23" t="s">
        <v>57</v>
      </c>
      <c r="B44" s="24" t="s">
        <v>7</v>
      </c>
      <c r="C44" s="24" t="s">
        <v>8</v>
      </c>
      <c r="D44" s="7">
        <v>31826</v>
      </c>
      <c r="E44" s="24" t="s">
        <v>12</v>
      </c>
    </row>
    <row r="45" spans="1:5" ht="15">
      <c r="A45" s="23" t="s">
        <v>58</v>
      </c>
      <c r="B45" s="24" t="s">
        <v>25</v>
      </c>
      <c r="C45" s="24" t="s">
        <v>8</v>
      </c>
      <c r="D45" s="7">
        <v>25574</v>
      </c>
      <c r="E45" s="24" t="s">
        <v>9</v>
      </c>
    </row>
    <row r="46" spans="1:5" ht="15">
      <c r="A46" s="23" t="s">
        <v>59</v>
      </c>
      <c r="B46" s="24" t="s">
        <v>25</v>
      </c>
      <c r="C46" s="24" t="s">
        <v>8</v>
      </c>
      <c r="D46" s="7">
        <v>15032</v>
      </c>
      <c r="E46" s="24" t="s">
        <v>16</v>
      </c>
    </row>
    <row r="47" spans="1:5" ht="15">
      <c r="A47" s="23" t="s">
        <v>60</v>
      </c>
      <c r="B47" s="24" t="s">
        <v>11</v>
      </c>
      <c r="C47" s="24" t="s">
        <v>8</v>
      </c>
      <c r="D47" s="7">
        <v>14341</v>
      </c>
      <c r="E47" s="24" t="s">
        <v>12</v>
      </c>
    </row>
    <row r="48" spans="1:5" ht="15">
      <c r="A48" s="23" t="s">
        <v>61</v>
      </c>
      <c r="B48" s="24" t="s">
        <v>25</v>
      </c>
      <c r="C48" s="24" t="s">
        <v>8</v>
      </c>
      <c r="D48" s="7">
        <v>9566</v>
      </c>
      <c r="E48" s="24" t="s">
        <v>12</v>
      </c>
    </row>
    <row r="49" spans="1:5" ht="15">
      <c r="A49" s="23" t="s">
        <v>62</v>
      </c>
      <c r="B49" s="24" t="s">
        <v>11</v>
      </c>
      <c r="C49" s="24" t="s">
        <v>8</v>
      </c>
      <c r="D49" s="7">
        <v>6390</v>
      </c>
      <c r="E49" s="24" t="s">
        <v>16</v>
      </c>
    </row>
    <row r="50" spans="1:5" ht="15">
      <c r="A50" s="23" t="s">
        <v>63</v>
      </c>
      <c r="B50" s="24" t="s">
        <v>25</v>
      </c>
      <c r="C50" s="24" t="s">
        <v>64</v>
      </c>
      <c r="D50" s="7">
        <v>35704</v>
      </c>
      <c r="E50" s="24" t="s">
        <v>16</v>
      </c>
    </row>
    <row r="51" spans="1:5" ht="15">
      <c r="A51" s="23" t="s">
        <v>65</v>
      </c>
      <c r="B51" s="24" t="s">
        <v>25</v>
      </c>
      <c r="C51" s="24" t="s">
        <v>64</v>
      </c>
      <c r="D51" s="7">
        <v>94050</v>
      </c>
      <c r="E51" s="24" t="s">
        <v>12</v>
      </c>
    </row>
    <row r="52" spans="1:5" ht="15">
      <c r="A52" s="23" t="s">
        <v>66</v>
      </c>
      <c r="B52" s="24" t="s">
        <v>25</v>
      </c>
      <c r="C52" s="24" t="s">
        <v>64</v>
      </c>
      <c r="D52" s="7">
        <v>197320</v>
      </c>
      <c r="E52" s="24" t="s">
        <v>16</v>
      </c>
    </row>
    <row r="53" spans="1:5" ht="15">
      <c r="A53" s="23" t="s">
        <v>67</v>
      </c>
      <c r="B53" s="24" t="s">
        <v>25</v>
      </c>
      <c r="C53" s="24" t="s">
        <v>64</v>
      </c>
      <c r="D53" s="7">
        <v>225091</v>
      </c>
      <c r="E53" s="24" t="s">
        <v>9</v>
      </c>
    </row>
    <row r="54" spans="1:5" ht="15">
      <c r="A54" s="23" t="s">
        <v>68</v>
      </c>
      <c r="B54" s="24" t="s">
        <v>25</v>
      </c>
      <c r="C54" s="24" t="s">
        <v>64</v>
      </c>
      <c r="D54" s="7">
        <v>89439</v>
      </c>
      <c r="E54" s="24" t="s">
        <v>9</v>
      </c>
    </row>
    <row r="55" spans="1:5" ht="15">
      <c r="A55" s="23" t="s">
        <v>71</v>
      </c>
      <c r="B55" s="24" t="s">
        <v>25</v>
      </c>
      <c r="C55" s="24" t="s">
        <v>64</v>
      </c>
      <c r="D55" s="7">
        <v>214137</v>
      </c>
      <c r="E55" s="24" t="s">
        <v>12</v>
      </c>
    </row>
    <row r="56" spans="1:5" ht="15">
      <c r="A56" s="23" t="s">
        <v>72</v>
      </c>
      <c r="B56" s="24" t="s">
        <v>7</v>
      </c>
      <c r="C56" s="24" t="s">
        <v>64</v>
      </c>
      <c r="D56" s="7">
        <v>143171</v>
      </c>
      <c r="E56" s="24" t="s">
        <v>12</v>
      </c>
    </row>
    <row r="57" spans="1:5" ht="15">
      <c r="A57" s="23" t="s">
        <v>73</v>
      </c>
      <c r="B57" s="24" t="s">
        <v>25</v>
      </c>
      <c r="C57" s="24" t="s">
        <v>64</v>
      </c>
      <c r="D57" s="7">
        <v>78602</v>
      </c>
      <c r="E57" s="24" t="s">
        <v>9</v>
      </c>
    </row>
    <row r="58" spans="1:5" ht="15">
      <c r="A58" s="23" t="s">
        <v>74</v>
      </c>
      <c r="B58" s="24" t="s">
        <v>25</v>
      </c>
      <c r="C58" s="24" t="s">
        <v>64</v>
      </c>
      <c r="D58" s="7">
        <v>160416</v>
      </c>
      <c r="E58" s="24" t="s">
        <v>12</v>
      </c>
    </row>
    <row r="59" spans="1:5" ht="15">
      <c r="A59" s="23" t="s">
        <v>75</v>
      </c>
      <c r="B59" s="24" t="s">
        <v>7</v>
      </c>
      <c r="C59" s="24" t="s">
        <v>64</v>
      </c>
      <c r="D59" s="7">
        <v>177317</v>
      </c>
      <c r="E59" s="24" t="s">
        <v>16</v>
      </c>
    </row>
    <row r="60" spans="1:5" ht="15">
      <c r="A60" s="23" t="s">
        <v>76</v>
      </c>
      <c r="B60" s="24" t="s">
        <v>7</v>
      </c>
      <c r="C60" s="24" t="s">
        <v>64</v>
      </c>
      <c r="D60" s="7">
        <v>280116</v>
      </c>
      <c r="E60" s="24" t="s">
        <v>12</v>
      </c>
    </row>
    <row r="61" spans="1:5" ht="15">
      <c r="A61" s="23" t="s">
        <v>77</v>
      </c>
      <c r="B61" s="24" t="s">
        <v>7</v>
      </c>
      <c r="C61" s="24" t="s">
        <v>64</v>
      </c>
      <c r="D61" s="7">
        <v>33394</v>
      </c>
      <c r="E61" s="24" t="s">
        <v>16</v>
      </c>
    </row>
    <row r="62" spans="1:5" ht="15">
      <c r="A62" s="23" t="s">
        <v>78</v>
      </c>
      <c r="B62" s="24" t="s">
        <v>7</v>
      </c>
      <c r="C62" s="24" t="s">
        <v>64</v>
      </c>
      <c r="D62" s="7">
        <v>235841</v>
      </c>
      <c r="E62" s="24" t="s">
        <v>16</v>
      </c>
    </row>
    <row r="63" spans="1:5" ht="15">
      <c r="A63" s="23" t="s">
        <v>79</v>
      </c>
      <c r="B63" s="24" t="s">
        <v>7</v>
      </c>
      <c r="C63" s="24" t="s">
        <v>64</v>
      </c>
      <c r="D63" s="7">
        <v>11014</v>
      </c>
      <c r="E63" s="24" t="s">
        <v>12</v>
      </c>
    </row>
    <row r="64" spans="1:5" ht="15">
      <c r="A64" s="23" t="s">
        <v>80</v>
      </c>
      <c r="B64" s="24" t="s">
        <v>7</v>
      </c>
      <c r="C64" s="24" t="s">
        <v>64</v>
      </c>
      <c r="D64" s="7">
        <v>182587</v>
      </c>
      <c r="E64" s="24" t="s">
        <v>9</v>
      </c>
    </row>
    <row r="65" spans="1:5" ht="15">
      <c r="A65" s="23" t="s">
        <v>81</v>
      </c>
      <c r="B65" s="24" t="s">
        <v>7</v>
      </c>
      <c r="C65" s="24" t="s">
        <v>64</v>
      </c>
      <c r="D65" s="7">
        <v>288368</v>
      </c>
      <c r="E65" s="24" t="s">
        <v>16</v>
      </c>
    </row>
    <row r="66" spans="1:5" ht="15">
      <c r="A66" s="23" t="s">
        <v>82</v>
      </c>
      <c r="B66" s="24" t="s">
        <v>25</v>
      </c>
      <c r="C66" s="24" t="s">
        <v>64</v>
      </c>
      <c r="D66" s="7">
        <v>30467</v>
      </c>
      <c r="E66" s="24" t="s">
        <v>9</v>
      </c>
    </row>
    <row r="67" spans="1:5" ht="15">
      <c r="A67" s="23" t="s">
        <v>83</v>
      </c>
      <c r="B67" s="24" t="s">
        <v>11</v>
      </c>
      <c r="C67" s="24" t="s">
        <v>84</v>
      </c>
      <c r="D67" s="7">
        <v>68130</v>
      </c>
      <c r="E67" s="24" t="s">
        <v>9</v>
      </c>
    </row>
    <row r="68" spans="1:5" ht="15">
      <c r="A68" s="23" t="s">
        <v>85</v>
      </c>
      <c r="B68" s="24" t="s">
        <v>11</v>
      </c>
      <c r="C68" s="24" t="s">
        <v>84</v>
      </c>
      <c r="D68" s="7">
        <v>224391</v>
      </c>
      <c r="E68" s="24" t="s">
        <v>12</v>
      </c>
    </row>
    <row r="69" spans="1:5" ht="15">
      <c r="A69" s="23" t="s">
        <v>86</v>
      </c>
      <c r="B69" s="24" t="s">
        <v>25</v>
      </c>
      <c r="C69" s="24" t="s">
        <v>84</v>
      </c>
      <c r="D69" s="7">
        <v>272264</v>
      </c>
      <c r="E69" s="24" t="s">
        <v>12</v>
      </c>
    </row>
    <row r="70" spans="1:5" ht="15">
      <c r="A70" s="23" t="s">
        <v>87</v>
      </c>
      <c r="B70" s="24" t="s">
        <v>11</v>
      </c>
      <c r="C70" s="24" t="s">
        <v>84</v>
      </c>
      <c r="D70" s="7">
        <v>279759</v>
      </c>
      <c r="E70" s="24" t="s">
        <v>12</v>
      </c>
    </row>
    <row r="71" spans="1:5" ht="15">
      <c r="A71" s="23" t="s">
        <v>88</v>
      </c>
      <c r="B71" s="24" t="s">
        <v>7</v>
      </c>
      <c r="C71" s="24" t="s">
        <v>84</v>
      </c>
      <c r="D71" s="7">
        <v>208069</v>
      </c>
      <c r="E71" s="24" t="s">
        <v>12</v>
      </c>
    </row>
    <row r="72" spans="1:5" ht="15">
      <c r="A72" s="23" t="s">
        <v>89</v>
      </c>
      <c r="B72" s="24" t="s">
        <v>7</v>
      </c>
      <c r="C72" s="24" t="s">
        <v>84</v>
      </c>
      <c r="D72" s="7">
        <v>169534</v>
      </c>
      <c r="E72" s="24" t="s">
        <v>12</v>
      </c>
    </row>
    <row r="73" spans="1:5" ht="15">
      <c r="A73" s="23" t="s">
        <v>90</v>
      </c>
      <c r="B73" s="24" t="s">
        <v>25</v>
      </c>
      <c r="C73" s="24" t="s">
        <v>84</v>
      </c>
      <c r="D73" s="7">
        <v>4581</v>
      </c>
      <c r="E73" s="24" t="s">
        <v>12</v>
      </c>
    </row>
    <row r="74" spans="1:5" ht="15">
      <c r="A74" s="23" t="s">
        <v>93</v>
      </c>
      <c r="B74" s="24" t="s">
        <v>7</v>
      </c>
      <c r="C74" s="24" t="s">
        <v>84</v>
      </c>
      <c r="D74" s="7">
        <v>25711</v>
      </c>
      <c r="E74" s="24" t="s">
        <v>12</v>
      </c>
    </row>
    <row r="75" spans="1:5" ht="15">
      <c r="A75" s="23" t="s">
        <v>94</v>
      </c>
      <c r="B75" s="24" t="s">
        <v>11</v>
      </c>
      <c r="C75" s="24" t="s">
        <v>84</v>
      </c>
      <c r="D75" s="7">
        <v>183877</v>
      </c>
      <c r="E75" s="24" t="s">
        <v>16</v>
      </c>
    </row>
    <row r="76" spans="1:5" ht="15">
      <c r="A76" s="23" t="s">
        <v>95</v>
      </c>
      <c r="B76" s="24" t="s">
        <v>11</v>
      </c>
      <c r="C76" s="24" t="s">
        <v>84</v>
      </c>
      <c r="D76" s="7">
        <v>24416</v>
      </c>
      <c r="E76" s="24" t="s">
        <v>16</v>
      </c>
    </row>
    <row r="77" spans="1:5" ht="15">
      <c r="A77" s="23" t="s">
        <v>96</v>
      </c>
      <c r="B77" s="24" t="s">
        <v>25</v>
      </c>
      <c r="C77" s="24" t="s">
        <v>84</v>
      </c>
      <c r="D77" s="7">
        <v>103719</v>
      </c>
      <c r="E77" s="24" t="s">
        <v>9</v>
      </c>
    </row>
    <row r="78" spans="1:5" ht="15">
      <c r="A78" s="23" t="s">
        <v>97</v>
      </c>
      <c r="B78" s="24" t="s">
        <v>7</v>
      </c>
      <c r="C78" s="24" t="s">
        <v>84</v>
      </c>
      <c r="D78" s="7">
        <v>121262</v>
      </c>
      <c r="E78" s="24" t="s">
        <v>16</v>
      </c>
    </row>
    <row r="79" spans="1:5" ht="15">
      <c r="A79" s="23" t="s">
        <v>98</v>
      </c>
      <c r="B79" s="24" t="s">
        <v>11</v>
      </c>
      <c r="C79" s="24" t="s">
        <v>84</v>
      </c>
      <c r="D79" s="7">
        <v>85554</v>
      </c>
      <c r="E79" s="24" t="s">
        <v>9</v>
      </c>
    </row>
    <row r="80" spans="1:5" ht="15">
      <c r="A80" s="23" t="s">
        <v>99</v>
      </c>
      <c r="B80" s="24" t="s">
        <v>7</v>
      </c>
      <c r="C80" s="24" t="s">
        <v>84</v>
      </c>
      <c r="D80" s="7">
        <v>144042</v>
      </c>
      <c r="E80" s="24" t="s">
        <v>16</v>
      </c>
    </row>
    <row r="81" spans="1:5" ht="15">
      <c r="A81" s="23" t="s">
        <v>100</v>
      </c>
      <c r="B81" s="24" t="s">
        <v>7</v>
      </c>
      <c r="C81" s="24" t="s">
        <v>84</v>
      </c>
      <c r="D81" s="7">
        <v>31781</v>
      </c>
      <c r="E81" s="24" t="s">
        <v>9</v>
      </c>
    </row>
    <row r="82" spans="1:5" ht="15">
      <c r="A82" s="23" t="s">
        <v>101</v>
      </c>
      <c r="B82" s="24" t="s">
        <v>7</v>
      </c>
      <c r="C82" s="24" t="s">
        <v>84</v>
      </c>
      <c r="D82" s="7">
        <v>166328</v>
      </c>
      <c r="E82" s="24" t="s">
        <v>9</v>
      </c>
    </row>
    <row r="83" spans="1:5" ht="15">
      <c r="A83" s="23" t="s">
        <v>102</v>
      </c>
      <c r="B83" s="24" t="s">
        <v>7</v>
      </c>
      <c r="C83" s="24" t="s">
        <v>84</v>
      </c>
      <c r="D83" s="7">
        <v>103994</v>
      </c>
      <c r="E83" s="24" t="s">
        <v>12</v>
      </c>
    </row>
    <row r="84" spans="1:5" ht="15">
      <c r="A84" s="23" t="s">
        <v>103</v>
      </c>
      <c r="B84" s="24" t="s">
        <v>7</v>
      </c>
      <c r="C84" s="24" t="s">
        <v>84</v>
      </c>
      <c r="D84" s="7">
        <v>100493</v>
      </c>
      <c r="E84" s="24" t="s">
        <v>9</v>
      </c>
    </row>
    <row r="85" spans="1:5" ht="15">
      <c r="A85" s="23" t="s">
        <v>104</v>
      </c>
      <c r="B85" s="24" t="s">
        <v>7</v>
      </c>
      <c r="C85" s="24" t="s">
        <v>84</v>
      </c>
      <c r="D85" s="7">
        <v>210249</v>
      </c>
      <c r="E85" s="24" t="s">
        <v>9</v>
      </c>
    </row>
    <row r="86" spans="1:5" ht="15">
      <c r="A86" s="23" t="s">
        <v>105</v>
      </c>
      <c r="B86" s="24" t="s">
        <v>11</v>
      </c>
      <c r="C86" s="24" t="s">
        <v>84</v>
      </c>
      <c r="D86" s="7">
        <v>22977</v>
      </c>
      <c r="E86" s="24" t="s">
        <v>12</v>
      </c>
    </row>
    <row r="87" spans="1:5" ht="15">
      <c r="A87" s="23" t="s">
        <v>106</v>
      </c>
      <c r="B87" s="24" t="s">
        <v>7</v>
      </c>
      <c r="C87" s="24" t="s">
        <v>84</v>
      </c>
      <c r="D87" s="7">
        <v>140187</v>
      </c>
      <c r="E87" s="24" t="s">
        <v>12</v>
      </c>
    </row>
    <row r="88" spans="1:5" ht="15">
      <c r="A88" s="23" t="s">
        <v>107</v>
      </c>
      <c r="B88" s="24" t="s">
        <v>7</v>
      </c>
      <c r="C88" s="24" t="s">
        <v>84</v>
      </c>
      <c r="D88" s="7">
        <v>924</v>
      </c>
      <c r="E88" s="24" t="s">
        <v>12</v>
      </c>
    </row>
    <row r="89" spans="1:5" ht="15">
      <c r="A89" s="23" t="s">
        <v>108</v>
      </c>
      <c r="B89" s="24" t="s">
        <v>7</v>
      </c>
      <c r="C89" s="24" t="s">
        <v>84</v>
      </c>
      <c r="D89" s="7">
        <v>159755</v>
      </c>
      <c r="E89" s="24" t="s">
        <v>16</v>
      </c>
    </row>
    <row r="90" spans="1:5" ht="15">
      <c r="A90" s="23" t="s">
        <v>109</v>
      </c>
      <c r="B90" s="24" t="s">
        <v>7</v>
      </c>
      <c r="C90" s="24" t="s">
        <v>84</v>
      </c>
      <c r="D90" s="7">
        <v>44829</v>
      </c>
      <c r="E90" s="24" t="s">
        <v>16</v>
      </c>
    </row>
    <row r="91" spans="1:5" ht="15">
      <c r="A91" s="23" t="s">
        <v>110</v>
      </c>
      <c r="B91" s="24" t="s">
        <v>7</v>
      </c>
      <c r="C91" s="24" t="s">
        <v>84</v>
      </c>
      <c r="D91" s="7">
        <v>49237</v>
      </c>
      <c r="E91" s="24" t="s">
        <v>16</v>
      </c>
    </row>
    <row r="92" spans="1:5" ht="15">
      <c r="A92" s="23" t="s">
        <v>111</v>
      </c>
      <c r="B92" s="24" t="s">
        <v>7</v>
      </c>
      <c r="C92" s="24" t="s">
        <v>84</v>
      </c>
      <c r="D92" s="7">
        <v>291124</v>
      </c>
      <c r="E92" s="24" t="s">
        <v>16</v>
      </c>
    </row>
    <row r="93" spans="1:5" ht="15">
      <c r="A93" s="23" t="s">
        <v>112</v>
      </c>
      <c r="B93" s="24" t="s">
        <v>7</v>
      </c>
      <c r="C93" s="24" t="s">
        <v>84</v>
      </c>
      <c r="D93" s="7">
        <v>126051</v>
      </c>
      <c r="E93" s="24" t="s">
        <v>16</v>
      </c>
    </row>
    <row r="94" spans="1:5" ht="15">
      <c r="A94" s="23" t="s">
        <v>113</v>
      </c>
      <c r="B94" s="24" t="s">
        <v>7</v>
      </c>
      <c r="C94" s="24" t="s">
        <v>84</v>
      </c>
      <c r="D94" s="7">
        <v>254486</v>
      </c>
      <c r="E94" s="24" t="s">
        <v>9</v>
      </c>
    </row>
    <row r="95" spans="1:5" ht="15">
      <c r="A95" s="23" t="s">
        <v>114</v>
      </c>
      <c r="B95" s="24" t="s">
        <v>7</v>
      </c>
      <c r="C95" s="24" t="s">
        <v>84</v>
      </c>
      <c r="D95" s="7">
        <v>22134</v>
      </c>
      <c r="E95" s="24" t="s">
        <v>12</v>
      </c>
    </row>
    <row r="96" spans="1:5" ht="15">
      <c r="A96" s="23" t="s">
        <v>115</v>
      </c>
      <c r="B96" s="24" t="s">
        <v>7</v>
      </c>
      <c r="C96" s="24" t="s">
        <v>84</v>
      </c>
      <c r="D96" s="7">
        <v>63191</v>
      </c>
      <c r="E96" s="24" t="s">
        <v>9</v>
      </c>
    </row>
    <row r="97" spans="1:5" ht="15">
      <c r="A97" s="23" t="s">
        <v>116</v>
      </c>
      <c r="B97" s="24" t="s">
        <v>7</v>
      </c>
      <c r="C97" s="24" t="s">
        <v>84</v>
      </c>
      <c r="D97" s="7">
        <v>155975</v>
      </c>
      <c r="E97" s="24" t="s">
        <v>9</v>
      </c>
    </row>
    <row r="98" spans="1:5" ht="15">
      <c r="A98" s="23" t="s">
        <v>117</v>
      </c>
      <c r="B98" s="24" t="s">
        <v>11</v>
      </c>
      <c r="C98" s="24" t="s">
        <v>84</v>
      </c>
      <c r="D98" s="7">
        <v>206636</v>
      </c>
      <c r="E98" s="24" t="s">
        <v>16</v>
      </c>
    </row>
    <row r="99" spans="1:5" ht="15">
      <c r="A99" s="23" t="s">
        <v>118</v>
      </c>
      <c r="B99" s="24" t="s">
        <v>11</v>
      </c>
      <c r="C99" s="24" t="s">
        <v>84</v>
      </c>
      <c r="D99" s="7">
        <v>83146</v>
      </c>
      <c r="E99" s="24" t="s">
        <v>9</v>
      </c>
    </row>
    <row r="100" spans="1:5" ht="15">
      <c r="A100" s="23" t="s">
        <v>119</v>
      </c>
      <c r="B100" s="24" t="s">
        <v>7</v>
      </c>
      <c r="C100" s="24" t="s">
        <v>84</v>
      </c>
      <c r="D100" s="7">
        <v>85279</v>
      </c>
      <c r="E100" s="24" t="s">
        <v>12</v>
      </c>
    </row>
    <row r="101" spans="1:5" ht="15">
      <c r="A101" s="23" t="s">
        <v>120</v>
      </c>
      <c r="B101" s="24" t="s">
        <v>7</v>
      </c>
      <c r="C101" s="24" t="s">
        <v>84</v>
      </c>
      <c r="D101" s="7">
        <v>294632</v>
      </c>
      <c r="E101" s="24" t="s">
        <v>9</v>
      </c>
    </row>
    <row r="102" spans="1:5" ht="15">
      <c r="A102" s="23" t="s">
        <v>121</v>
      </c>
      <c r="B102" s="24" t="s">
        <v>7</v>
      </c>
      <c r="C102" s="24" t="s">
        <v>84</v>
      </c>
      <c r="D102" s="7">
        <v>36161</v>
      </c>
      <c r="E102" s="24" t="s">
        <v>16</v>
      </c>
    </row>
    <row r="103" spans="1:5" ht="15">
      <c r="A103" s="23" t="s">
        <v>122</v>
      </c>
      <c r="B103" s="24" t="s">
        <v>11</v>
      </c>
      <c r="C103" s="24" t="s">
        <v>84</v>
      </c>
      <c r="D103" s="7">
        <v>137979</v>
      </c>
      <c r="E103" s="24" t="s">
        <v>9</v>
      </c>
    </row>
    <row r="104" spans="1:5" ht="15">
      <c r="A104" s="23" t="s">
        <v>123</v>
      </c>
      <c r="B104" s="24" t="s">
        <v>7</v>
      </c>
      <c r="C104" s="24" t="s">
        <v>84</v>
      </c>
      <c r="D104" s="7">
        <v>36680</v>
      </c>
      <c r="E104" s="24" t="s">
        <v>9</v>
      </c>
    </row>
    <row r="105" spans="1:5" ht="15">
      <c r="A105" s="23" t="s">
        <v>124</v>
      </c>
      <c r="B105" s="24" t="s">
        <v>11</v>
      </c>
      <c r="C105" s="24" t="s">
        <v>84</v>
      </c>
      <c r="D105" s="7">
        <v>227142</v>
      </c>
      <c r="E105" s="24" t="s">
        <v>16</v>
      </c>
    </row>
    <row r="106" spans="1:5" ht="15">
      <c r="A106" s="23" t="s">
        <v>125</v>
      </c>
      <c r="B106" s="24" t="s">
        <v>11</v>
      </c>
      <c r="C106" s="24" t="s">
        <v>84</v>
      </c>
      <c r="D106" s="7">
        <v>13941</v>
      </c>
      <c r="E106" s="24" t="s">
        <v>9</v>
      </c>
    </row>
    <row r="107" spans="1:5" ht="15">
      <c r="A107" s="23" t="s">
        <v>126</v>
      </c>
      <c r="B107" s="24" t="s">
        <v>7</v>
      </c>
      <c r="C107" s="24" t="s">
        <v>84</v>
      </c>
      <c r="D107" s="7">
        <v>108552</v>
      </c>
      <c r="E107" s="24" t="s">
        <v>9</v>
      </c>
    </row>
    <row r="108" spans="1:5" ht="15">
      <c r="A108" s="23" t="s">
        <v>127</v>
      </c>
      <c r="B108" s="24" t="s">
        <v>7</v>
      </c>
      <c r="C108" s="24" t="s">
        <v>84</v>
      </c>
      <c r="D108" s="7">
        <v>53311</v>
      </c>
      <c r="E108" s="24" t="s">
        <v>9</v>
      </c>
    </row>
    <row r="109" spans="1:5" ht="15">
      <c r="A109" s="23" t="s">
        <v>128</v>
      </c>
      <c r="B109" s="24" t="s">
        <v>7</v>
      </c>
      <c r="C109" s="24" t="s">
        <v>84</v>
      </c>
      <c r="D109" s="7">
        <v>24984</v>
      </c>
      <c r="E109" s="24" t="s">
        <v>16</v>
      </c>
    </row>
    <row r="110" spans="1:5" ht="15">
      <c r="A110" s="23" t="s">
        <v>129</v>
      </c>
      <c r="B110" s="24" t="s">
        <v>11</v>
      </c>
      <c r="C110" s="24" t="s">
        <v>84</v>
      </c>
      <c r="D110" s="7">
        <v>228227</v>
      </c>
      <c r="E110" s="24" t="s">
        <v>9</v>
      </c>
    </row>
    <row r="111" spans="1:5" ht="15">
      <c r="A111" s="23" t="s">
        <v>130</v>
      </c>
      <c r="B111" s="24" t="s">
        <v>7</v>
      </c>
      <c r="C111" s="24" t="s">
        <v>84</v>
      </c>
      <c r="D111" s="7">
        <v>237770</v>
      </c>
      <c r="E111" s="24" t="s">
        <v>12</v>
      </c>
    </row>
    <row r="112" spans="1:5" ht="15">
      <c r="A112" s="23" t="s">
        <v>131</v>
      </c>
      <c r="B112" s="24" t="s">
        <v>7</v>
      </c>
      <c r="C112" s="24" t="s">
        <v>84</v>
      </c>
      <c r="D112" s="7">
        <v>232299</v>
      </c>
      <c r="E112" s="24" t="s">
        <v>12</v>
      </c>
    </row>
    <row r="113" spans="1:5" ht="15">
      <c r="A113" s="23" t="s">
        <v>132</v>
      </c>
      <c r="B113" s="24" t="s">
        <v>7</v>
      </c>
      <c r="C113" s="24" t="s">
        <v>84</v>
      </c>
      <c r="D113" s="7">
        <v>290433</v>
      </c>
      <c r="E113" s="24" t="s">
        <v>12</v>
      </c>
    </row>
    <row r="114" spans="1:5" ht="15">
      <c r="A114" s="23" t="s">
        <v>133</v>
      </c>
      <c r="B114" s="24" t="s">
        <v>7</v>
      </c>
      <c r="C114" s="24" t="s">
        <v>84</v>
      </c>
      <c r="D114" s="7">
        <v>276583</v>
      </c>
      <c r="E114" s="24" t="s">
        <v>16</v>
      </c>
    </row>
    <row r="115" spans="1:5" ht="15">
      <c r="A115" s="23" t="s">
        <v>134</v>
      </c>
      <c r="B115" s="24" t="s">
        <v>7</v>
      </c>
      <c r="C115" s="24" t="s">
        <v>84</v>
      </c>
      <c r="D115" s="7">
        <v>142128</v>
      </c>
      <c r="E115" s="24" t="s">
        <v>12</v>
      </c>
    </row>
    <row r="116" spans="1:5" ht="15">
      <c r="A116" s="23" t="s">
        <v>135</v>
      </c>
      <c r="B116" s="24" t="s">
        <v>7</v>
      </c>
      <c r="C116" s="24" t="s">
        <v>84</v>
      </c>
      <c r="D116" s="7">
        <v>9887</v>
      </c>
      <c r="E116" s="24" t="s">
        <v>9</v>
      </c>
    </row>
    <row r="117" spans="1:5" ht="15">
      <c r="A117" s="23" t="s">
        <v>136</v>
      </c>
      <c r="B117" s="24" t="s">
        <v>7</v>
      </c>
      <c r="C117" s="24" t="s">
        <v>84</v>
      </c>
      <c r="D117" s="7">
        <v>122944</v>
      </c>
      <c r="E117" s="24" t="s">
        <v>16</v>
      </c>
    </row>
    <row r="118" spans="1:5" ht="15">
      <c r="A118" s="23" t="s">
        <v>137</v>
      </c>
      <c r="B118" s="24" t="s">
        <v>7</v>
      </c>
      <c r="C118" s="24" t="s">
        <v>138</v>
      </c>
      <c r="D118" s="7">
        <v>248407</v>
      </c>
      <c r="E118" s="24" t="s">
        <v>16</v>
      </c>
    </row>
    <row r="119" spans="1:5" ht="15">
      <c r="A119" s="23" t="s">
        <v>139</v>
      </c>
      <c r="B119" s="24" t="s">
        <v>25</v>
      </c>
      <c r="C119" s="24" t="s">
        <v>138</v>
      </c>
      <c r="D119" s="7">
        <v>214317</v>
      </c>
      <c r="E119" s="24" t="s">
        <v>16</v>
      </c>
    </row>
    <row r="120" spans="1:5" ht="15">
      <c r="A120" s="23" t="s">
        <v>140</v>
      </c>
      <c r="B120" s="24" t="s">
        <v>25</v>
      </c>
      <c r="C120" s="24" t="s">
        <v>138</v>
      </c>
      <c r="D120" s="7">
        <v>199454</v>
      </c>
      <c r="E120" s="24" t="s">
        <v>9</v>
      </c>
    </row>
    <row r="121" spans="1:5" ht="15">
      <c r="A121" s="23" t="s">
        <v>141</v>
      </c>
      <c r="B121" s="24" t="s">
        <v>11</v>
      </c>
      <c r="C121" s="24" t="s">
        <v>138</v>
      </c>
      <c r="D121" s="7">
        <v>172495</v>
      </c>
      <c r="E121" s="24" t="s">
        <v>9</v>
      </c>
    </row>
    <row r="122" spans="1:5" ht="15">
      <c r="A122" s="23" t="s">
        <v>142</v>
      </c>
      <c r="B122" s="24" t="s">
        <v>11</v>
      </c>
      <c r="C122" s="24" t="s">
        <v>138</v>
      </c>
      <c r="D122" s="7">
        <v>166111</v>
      </c>
      <c r="E122" s="24" t="s">
        <v>9</v>
      </c>
    </row>
    <row r="123" spans="1:5" ht="15">
      <c r="A123" s="23" t="s">
        <v>143</v>
      </c>
      <c r="B123" s="24" t="s">
        <v>7</v>
      </c>
      <c r="C123" s="24" t="s">
        <v>138</v>
      </c>
      <c r="D123" s="7">
        <v>137024</v>
      </c>
      <c r="E123" s="24" t="s">
        <v>9</v>
      </c>
    </row>
    <row r="124" spans="1:5" ht="15">
      <c r="A124" s="23" t="s">
        <v>144</v>
      </c>
      <c r="B124" s="24" t="s">
        <v>25</v>
      </c>
      <c r="C124" s="24" t="s">
        <v>138</v>
      </c>
      <c r="D124" s="7">
        <v>136865</v>
      </c>
      <c r="E124" s="24" t="s">
        <v>9</v>
      </c>
    </row>
    <row r="125" spans="1:5" ht="15">
      <c r="A125" s="23" t="s">
        <v>145</v>
      </c>
      <c r="B125" s="24" t="s">
        <v>11</v>
      </c>
      <c r="C125" s="24" t="s">
        <v>138</v>
      </c>
      <c r="D125" s="7">
        <v>135085</v>
      </c>
      <c r="E125" s="24" t="s">
        <v>9</v>
      </c>
    </row>
    <row r="126" spans="1:5" ht="15">
      <c r="A126" s="23" t="s">
        <v>146</v>
      </c>
      <c r="B126" s="24" t="s">
        <v>7</v>
      </c>
      <c r="C126" s="24" t="s">
        <v>138</v>
      </c>
      <c r="D126" s="7">
        <v>101958</v>
      </c>
      <c r="E126" s="24" t="s">
        <v>9</v>
      </c>
    </row>
    <row r="127" spans="1:5" ht="15">
      <c r="A127" s="23" t="s">
        <v>147</v>
      </c>
      <c r="B127" s="24" t="s">
        <v>11</v>
      </c>
      <c r="C127" s="24" t="s">
        <v>138</v>
      </c>
      <c r="D127" s="7">
        <v>60310</v>
      </c>
      <c r="E127" s="24" t="s">
        <v>9</v>
      </c>
    </row>
    <row r="128" spans="1:5" ht="15">
      <c r="A128" s="23" t="s">
        <v>148</v>
      </c>
      <c r="B128" s="24" t="s">
        <v>25</v>
      </c>
      <c r="C128" s="24" t="s">
        <v>138</v>
      </c>
      <c r="D128" s="7">
        <v>58645</v>
      </c>
      <c r="E128" s="24" t="s">
        <v>9</v>
      </c>
    </row>
    <row r="129" spans="1:5" ht="15">
      <c r="A129" s="23" t="s">
        <v>149</v>
      </c>
      <c r="B129" s="24" t="s">
        <v>11</v>
      </c>
      <c r="C129" s="24" t="s">
        <v>138</v>
      </c>
      <c r="D129" s="7">
        <v>42955</v>
      </c>
      <c r="E129" s="24" t="s">
        <v>9</v>
      </c>
    </row>
    <row r="130" spans="1:5" ht="15">
      <c r="A130" s="23" t="s">
        <v>150</v>
      </c>
      <c r="B130" s="24" t="s">
        <v>25</v>
      </c>
      <c r="C130" s="24" t="s">
        <v>138</v>
      </c>
      <c r="D130" s="7">
        <v>40332</v>
      </c>
      <c r="E130" s="24" t="s">
        <v>9</v>
      </c>
    </row>
    <row r="131" spans="1:5" ht="15">
      <c r="A131" s="23" t="s">
        <v>151</v>
      </c>
      <c r="B131" s="24" t="s">
        <v>25</v>
      </c>
      <c r="C131" s="24" t="s">
        <v>138</v>
      </c>
      <c r="D131" s="7">
        <v>31675</v>
      </c>
      <c r="E131" s="24" t="s">
        <v>9</v>
      </c>
    </row>
    <row r="132" spans="1:5" ht="15">
      <c r="A132" s="23" t="s">
        <v>152</v>
      </c>
      <c r="B132" s="24" t="s">
        <v>25</v>
      </c>
      <c r="C132" s="24" t="s">
        <v>138</v>
      </c>
      <c r="D132" s="7">
        <v>31290</v>
      </c>
      <c r="E132" s="24" t="s">
        <v>9</v>
      </c>
    </row>
    <row r="133" spans="1:5" ht="15">
      <c r="A133" s="23" t="s">
        <v>153</v>
      </c>
      <c r="B133" s="24" t="s">
        <v>11</v>
      </c>
      <c r="C133" s="24" t="s">
        <v>138</v>
      </c>
      <c r="D133" s="7">
        <v>238851</v>
      </c>
      <c r="E133" s="24" t="s">
        <v>16</v>
      </c>
    </row>
    <row r="134" spans="1:5" ht="15">
      <c r="A134" s="23" t="s">
        <v>154</v>
      </c>
      <c r="B134" s="24" t="s">
        <v>11</v>
      </c>
      <c r="C134" s="24" t="s">
        <v>138</v>
      </c>
      <c r="D134" s="7">
        <v>204080</v>
      </c>
      <c r="E134" s="24" t="s">
        <v>16</v>
      </c>
    </row>
    <row r="135" spans="1:5" ht="15">
      <c r="A135" s="23" t="s">
        <v>155</v>
      </c>
      <c r="B135" s="24" t="s">
        <v>7</v>
      </c>
      <c r="C135" s="24" t="s">
        <v>138</v>
      </c>
      <c r="D135" s="7">
        <v>203424</v>
      </c>
      <c r="E135" s="24" t="s">
        <v>16</v>
      </c>
    </row>
    <row r="136" spans="1:5" ht="15">
      <c r="A136" s="23" t="s">
        <v>156</v>
      </c>
      <c r="B136" s="24" t="s">
        <v>25</v>
      </c>
      <c r="C136" s="24" t="s">
        <v>138</v>
      </c>
      <c r="D136" s="7">
        <v>145048</v>
      </c>
      <c r="E136" s="24" t="s">
        <v>16</v>
      </c>
    </row>
    <row r="137" spans="1:5" ht="15">
      <c r="A137" s="23" t="s">
        <v>160</v>
      </c>
      <c r="B137" s="24" t="s">
        <v>11</v>
      </c>
      <c r="C137" s="24" t="s">
        <v>138</v>
      </c>
      <c r="D137" s="7">
        <v>293326</v>
      </c>
      <c r="E137" s="24" t="s">
        <v>12</v>
      </c>
    </row>
    <row r="138" spans="1:5" ht="15">
      <c r="A138" s="23" t="s">
        <v>161</v>
      </c>
      <c r="B138" s="24" t="s">
        <v>11</v>
      </c>
      <c r="C138" s="24" t="s">
        <v>138</v>
      </c>
      <c r="D138" s="7">
        <v>291046</v>
      </c>
      <c r="E138" s="24" t="s">
        <v>12</v>
      </c>
    </row>
    <row r="139" spans="1:5" ht="15">
      <c r="A139" s="23" t="s">
        <v>162</v>
      </c>
      <c r="B139" s="24" t="s">
        <v>7</v>
      </c>
      <c r="C139" s="24" t="s">
        <v>138</v>
      </c>
      <c r="D139" s="7">
        <v>258135</v>
      </c>
      <c r="E139" s="24" t="s">
        <v>12</v>
      </c>
    </row>
    <row r="140" spans="1:5" ht="15">
      <c r="A140" s="23" t="s">
        <v>163</v>
      </c>
      <c r="B140" s="24" t="s">
        <v>7</v>
      </c>
      <c r="C140" s="24" t="s">
        <v>138</v>
      </c>
      <c r="D140" s="7">
        <v>204564</v>
      </c>
      <c r="E140" s="24" t="s">
        <v>12</v>
      </c>
    </row>
    <row r="141" spans="1:5" ht="15">
      <c r="A141" s="23" t="s">
        <v>164</v>
      </c>
      <c r="B141" s="24" t="s">
        <v>11</v>
      </c>
      <c r="C141" s="24" t="s">
        <v>138</v>
      </c>
      <c r="D141" s="7">
        <v>155214</v>
      </c>
      <c r="E141" s="24" t="s">
        <v>12</v>
      </c>
    </row>
    <row r="142" spans="1:5" ht="15">
      <c r="A142" s="23" t="s">
        <v>165</v>
      </c>
      <c r="B142" s="24" t="s">
        <v>7</v>
      </c>
      <c r="C142" s="24" t="s">
        <v>138</v>
      </c>
      <c r="D142" s="7">
        <v>130949</v>
      </c>
      <c r="E142" s="24" t="s">
        <v>12</v>
      </c>
    </row>
    <row r="143" spans="1:5" ht="15">
      <c r="A143" s="23" t="s">
        <v>166</v>
      </c>
      <c r="B143" s="24" t="s">
        <v>11</v>
      </c>
      <c r="C143" s="24" t="s">
        <v>138</v>
      </c>
      <c r="D143" s="7">
        <v>118343</v>
      </c>
      <c r="E143" s="24" t="s">
        <v>12</v>
      </c>
    </row>
    <row r="144" spans="1:5" ht="15">
      <c r="A144" s="23" t="s">
        <v>167</v>
      </c>
      <c r="B144" s="24" t="s">
        <v>11</v>
      </c>
      <c r="C144" s="24" t="s">
        <v>138</v>
      </c>
      <c r="D144" s="7">
        <v>107204</v>
      </c>
      <c r="E144" s="24" t="s">
        <v>12</v>
      </c>
    </row>
    <row r="145" spans="1:5" ht="15">
      <c r="A145" s="23" t="s">
        <v>168</v>
      </c>
      <c r="B145" s="24" t="s">
        <v>11</v>
      </c>
      <c r="C145" s="24" t="s">
        <v>138</v>
      </c>
      <c r="D145" s="7">
        <v>14570</v>
      </c>
      <c r="E145" s="24" t="s">
        <v>12</v>
      </c>
    </row>
    <row r="146" spans="1:5" ht="15">
      <c r="A146" s="23" t="s">
        <v>169</v>
      </c>
      <c r="B146" s="24" t="s">
        <v>11</v>
      </c>
      <c r="C146" s="24" t="s">
        <v>138</v>
      </c>
      <c r="D146" s="7">
        <v>14008</v>
      </c>
      <c r="E146" s="24" t="s">
        <v>12</v>
      </c>
    </row>
    <row r="147" spans="1:5" ht="15">
      <c r="A147" s="23" t="s">
        <v>170</v>
      </c>
      <c r="B147" s="24" t="s">
        <v>25</v>
      </c>
      <c r="C147" s="24" t="s">
        <v>138</v>
      </c>
      <c r="D147" s="7">
        <v>12412</v>
      </c>
      <c r="E147" s="24" t="s">
        <v>12</v>
      </c>
    </row>
    <row r="148" spans="1:5" ht="15">
      <c r="A148" s="23" t="s">
        <v>171</v>
      </c>
      <c r="B148" s="24" t="s">
        <v>7</v>
      </c>
      <c r="C148" s="24" t="s">
        <v>172</v>
      </c>
      <c r="D148" s="7">
        <v>187359</v>
      </c>
      <c r="E148" s="24" t="s">
        <v>9</v>
      </c>
    </row>
    <row r="149" spans="1:5" ht="15">
      <c r="A149" s="23" t="s">
        <v>173</v>
      </c>
      <c r="B149" s="24" t="s">
        <v>11</v>
      </c>
      <c r="C149" s="24" t="s">
        <v>172</v>
      </c>
      <c r="D149" s="7">
        <v>278974</v>
      </c>
      <c r="E149" s="24" t="s">
        <v>9</v>
      </c>
    </row>
    <row r="150" spans="1:5" ht="15">
      <c r="A150" s="23" t="s">
        <v>174</v>
      </c>
      <c r="B150" s="24" t="s">
        <v>25</v>
      </c>
      <c r="C150" s="24" t="s">
        <v>172</v>
      </c>
      <c r="D150" s="7">
        <v>60204</v>
      </c>
      <c r="E150" s="24" t="s">
        <v>16</v>
      </c>
    </row>
    <row r="151" spans="1:5" ht="15">
      <c r="A151" s="23" t="s">
        <v>175</v>
      </c>
      <c r="B151" s="24" t="s">
        <v>7</v>
      </c>
      <c r="C151" s="24" t="s">
        <v>172</v>
      </c>
      <c r="D151" s="7">
        <v>197457</v>
      </c>
      <c r="E151" s="24" t="s">
        <v>12</v>
      </c>
    </row>
    <row r="152" spans="1:5" ht="15">
      <c r="A152" s="23" t="s">
        <v>176</v>
      </c>
      <c r="B152" s="24" t="s">
        <v>7</v>
      </c>
      <c r="C152" s="24" t="s">
        <v>172</v>
      </c>
      <c r="D152" s="7">
        <v>99639</v>
      </c>
      <c r="E152" s="24" t="s">
        <v>16</v>
      </c>
    </row>
    <row r="153" spans="1:5" ht="15">
      <c r="A153" s="23" t="s">
        <v>177</v>
      </c>
      <c r="B153" s="24" t="s">
        <v>7</v>
      </c>
      <c r="C153" s="24" t="s">
        <v>172</v>
      </c>
      <c r="D153" s="7">
        <v>292028</v>
      </c>
      <c r="E153" s="24" t="s">
        <v>9</v>
      </c>
    </row>
    <row r="154" spans="1:5" ht="15">
      <c r="A154" s="23" t="s">
        <v>178</v>
      </c>
      <c r="B154" s="24" t="s">
        <v>11</v>
      </c>
      <c r="C154" s="24" t="s">
        <v>172</v>
      </c>
      <c r="D154" s="7">
        <v>272367</v>
      </c>
      <c r="E154" s="24" t="s">
        <v>12</v>
      </c>
    </row>
    <row r="155" spans="1:5" ht="15">
      <c r="A155" s="23" t="s">
        <v>179</v>
      </c>
      <c r="B155" s="24" t="s">
        <v>11</v>
      </c>
      <c r="C155" s="24" t="s">
        <v>172</v>
      </c>
      <c r="D155" s="7">
        <v>262793</v>
      </c>
      <c r="E155" s="24" t="s">
        <v>16</v>
      </c>
    </row>
    <row r="156" spans="1:5" ht="15">
      <c r="A156" s="23" t="s">
        <v>180</v>
      </c>
      <c r="B156" s="24" t="s">
        <v>25</v>
      </c>
      <c r="C156" s="24" t="s">
        <v>172</v>
      </c>
      <c r="D156" s="7">
        <v>183804</v>
      </c>
      <c r="E156" s="24" t="s">
        <v>12</v>
      </c>
    </row>
    <row r="157" spans="1:5" ht="15">
      <c r="A157" s="23" t="s">
        <v>181</v>
      </c>
      <c r="B157" s="24" t="s">
        <v>7</v>
      </c>
      <c r="C157" s="24" t="s">
        <v>172</v>
      </c>
      <c r="D157" s="7">
        <v>114109</v>
      </c>
      <c r="E157" s="24" t="s">
        <v>12</v>
      </c>
    </row>
    <row r="158" spans="1:5" ht="15">
      <c r="A158" s="23" t="s">
        <v>182</v>
      </c>
      <c r="B158" s="24" t="s">
        <v>7</v>
      </c>
      <c r="C158" s="24" t="s">
        <v>172</v>
      </c>
      <c r="D158" s="7">
        <v>50621</v>
      </c>
      <c r="E158" s="24" t="s">
        <v>9</v>
      </c>
    </row>
    <row r="159" spans="1:5" ht="15">
      <c r="A159" s="23" t="s">
        <v>183</v>
      </c>
      <c r="B159" s="24" t="s">
        <v>11</v>
      </c>
      <c r="C159" s="24" t="s">
        <v>172</v>
      </c>
      <c r="D159" s="7">
        <v>209002</v>
      </c>
      <c r="E159" s="24" t="s">
        <v>16</v>
      </c>
    </row>
    <row r="160" spans="1:5" ht="15">
      <c r="A160" s="23" t="s">
        <v>184</v>
      </c>
      <c r="B160" s="24" t="s">
        <v>11</v>
      </c>
      <c r="C160" s="24" t="s">
        <v>172</v>
      </c>
      <c r="D160" s="7">
        <v>139398</v>
      </c>
      <c r="E160" s="24" t="s">
        <v>9</v>
      </c>
    </row>
    <row r="161" spans="1:5" ht="15">
      <c r="A161" s="23" t="s">
        <v>187</v>
      </c>
      <c r="B161" s="24" t="s">
        <v>11</v>
      </c>
      <c r="C161" s="24" t="s">
        <v>172</v>
      </c>
      <c r="D161" s="7">
        <v>49442</v>
      </c>
      <c r="E161" s="24" t="s">
        <v>12</v>
      </c>
    </row>
    <row r="162" spans="1:5" ht="15">
      <c r="A162" s="23" t="s">
        <v>188</v>
      </c>
      <c r="B162" s="24" t="s">
        <v>11</v>
      </c>
      <c r="C162" s="24" t="s">
        <v>172</v>
      </c>
      <c r="D162" s="7">
        <v>164614</v>
      </c>
      <c r="E162" s="24" t="s">
        <v>9</v>
      </c>
    </row>
    <row r="163" spans="1:5" ht="15">
      <c r="A163" s="23" t="s">
        <v>189</v>
      </c>
      <c r="B163" s="24" t="s">
        <v>7</v>
      </c>
      <c r="C163" s="24" t="s">
        <v>172</v>
      </c>
      <c r="D163" s="7">
        <v>285017</v>
      </c>
      <c r="E163" s="24" t="s">
        <v>12</v>
      </c>
    </row>
    <row r="164" spans="1:5" ht="15">
      <c r="A164" s="23" t="s">
        <v>190</v>
      </c>
      <c r="B164" s="24" t="s">
        <v>7</v>
      </c>
      <c r="C164" s="24" t="s">
        <v>172</v>
      </c>
      <c r="D164" s="7">
        <v>117201</v>
      </c>
      <c r="E164" s="24" t="s">
        <v>16</v>
      </c>
    </row>
    <row r="165" spans="1:5" ht="15">
      <c r="A165" s="23" t="s">
        <v>191</v>
      </c>
      <c r="B165" s="24" t="s">
        <v>11</v>
      </c>
      <c r="C165" s="24" t="s">
        <v>172</v>
      </c>
      <c r="D165" s="7">
        <v>257061</v>
      </c>
      <c r="E165" s="24" t="s">
        <v>12</v>
      </c>
    </row>
    <row r="166" spans="1:5" ht="15">
      <c r="A166" s="23" t="s">
        <v>192</v>
      </c>
      <c r="B166" s="24" t="s">
        <v>11</v>
      </c>
      <c r="C166" s="24" t="s">
        <v>172</v>
      </c>
      <c r="D166" s="7">
        <v>152055</v>
      </c>
      <c r="E166" s="24" t="s">
        <v>12</v>
      </c>
    </row>
    <row r="167" spans="1:5" ht="15">
      <c r="A167" s="23" t="s">
        <v>193</v>
      </c>
      <c r="B167" s="24" t="s">
        <v>11</v>
      </c>
      <c r="C167" s="24" t="s">
        <v>172</v>
      </c>
      <c r="D167" s="7">
        <v>158418</v>
      </c>
      <c r="E167" s="24" t="s">
        <v>16</v>
      </c>
    </row>
    <row r="168" spans="1:5" ht="15">
      <c r="A168" s="23" t="s">
        <v>194</v>
      </c>
      <c r="B168" s="24" t="s">
        <v>7</v>
      </c>
      <c r="C168" s="24" t="s">
        <v>172</v>
      </c>
      <c r="D168" s="7">
        <v>22918</v>
      </c>
      <c r="E168" s="24" t="s">
        <v>12</v>
      </c>
    </row>
    <row r="169" spans="1:5" ht="15">
      <c r="A169" s="23" t="s">
        <v>195</v>
      </c>
      <c r="B169" s="24" t="s">
        <v>11</v>
      </c>
      <c r="C169" s="24" t="s">
        <v>172</v>
      </c>
      <c r="D169" s="7">
        <v>15360</v>
      </c>
      <c r="E169" s="24" t="s">
        <v>16</v>
      </c>
    </row>
    <row r="170" spans="1:5" ht="15">
      <c r="A170" s="23" t="s">
        <v>196</v>
      </c>
      <c r="B170" s="24" t="s">
        <v>7</v>
      </c>
      <c r="C170" s="24" t="s">
        <v>172</v>
      </c>
      <c r="D170" s="7">
        <v>195575</v>
      </c>
      <c r="E170" s="24" t="s">
        <v>16</v>
      </c>
    </row>
    <row r="171" spans="1:5" ht="15">
      <c r="A171" s="23" t="s">
        <v>197</v>
      </c>
      <c r="B171" s="24" t="s">
        <v>7</v>
      </c>
      <c r="C171" s="24" t="s">
        <v>172</v>
      </c>
      <c r="D171" s="7">
        <v>91529</v>
      </c>
      <c r="E171" s="24" t="s">
        <v>12</v>
      </c>
    </row>
    <row r="172" spans="1:5" ht="15">
      <c r="A172" s="23" t="s">
        <v>198</v>
      </c>
      <c r="B172" s="24" t="s">
        <v>7</v>
      </c>
      <c r="C172" s="24" t="s">
        <v>172</v>
      </c>
      <c r="D172" s="7">
        <v>67618</v>
      </c>
      <c r="E172" s="24" t="s">
        <v>12</v>
      </c>
    </row>
    <row r="173" spans="1:5" ht="15">
      <c r="A173" s="23" t="s">
        <v>199</v>
      </c>
      <c r="B173" s="24" t="s">
        <v>7</v>
      </c>
      <c r="C173" s="24" t="s">
        <v>172</v>
      </c>
      <c r="D173" s="7">
        <v>68970</v>
      </c>
      <c r="E173" s="24" t="s">
        <v>12</v>
      </c>
    </row>
    <row r="174" spans="1:5" ht="15">
      <c r="A174" s="23" t="s">
        <v>200</v>
      </c>
      <c r="B174" s="24" t="s">
        <v>11</v>
      </c>
      <c r="C174" s="24" t="s">
        <v>172</v>
      </c>
      <c r="D174" s="7">
        <v>141618</v>
      </c>
      <c r="E174" s="24" t="s">
        <v>16</v>
      </c>
    </row>
    <row r="175" spans="1:5" ht="15">
      <c r="A175" s="23" t="s">
        <v>201</v>
      </c>
      <c r="B175" s="24" t="s">
        <v>7</v>
      </c>
      <c r="C175" s="24" t="s">
        <v>172</v>
      </c>
      <c r="D175" s="7">
        <v>252613</v>
      </c>
      <c r="E175" s="24" t="s">
        <v>9</v>
      </c>
    </row>
    <row r="176" spans="1:5" ht="15">
      <c r="A176" s="23" t="s">
        <v>202</v>
      </c>
      <c r="B176" s="24" t="s">
        <v>11</v>
      </c>
      <c r="C176" s="24" t="s">
        <v>172</v>
      </c>
      <c r="D176" s="7">
        <v>63755</v>
      </c>
      <c r="E176" s="24" t="s">
        <v>16</v>
      </c>
    </row>
    <row r="177" spans="1:5" ht="15">
      <c r="A177" s="23" t="s">
        <v>203</v>
      </c>
      <c r="B177" s="24" t="s">
        <v>11</v>
      </c>
      <c r="C177" s="24" t="s">
        <v>172</v>
      </c>
      <c r="D177" s="7">
        <v>258632</v>
      </c>
      <c r="E177" s="24" t="s">
        <v>12</v>
      </c>
    </row>
    <row r="178" spans="1:5" ht="15">
      <c r="A178" s="23" t="s">
        <v>204</v>
      </c>
      <c r="B178" s="24" t="s">
        <v>7</v>
      </c>
      <c r="C178" s="24" t="s">
        <v>172</v>
      </c>
      <c r="D178" s="7">
        <v>7436</v>
      </c>
      <c r="E178" s="24" t="s">
        <v>9</v>
      </c>
    </row>
    <row r="179" spans="1:5" ht="15">
      <c r="A179" s="23" t="s">
        <v>205</v>
      </c>
      <c r="B179" s="24" t="s">
        <v>11</v>
      </c>
      <c r="C179" s="24" t="s">
        <v>172</v>
      </c>
      <c r="D179" s="7">
        <v>102611</v>
      </c>
      <c r="E179" s="24" t="s">
        <v>12</v>
      </c>
    </row>
    <row r="180" spans="1:5" ht="15">
      <c r="A180" s="23" t="s">
        <v>206</v>
      </c>
      <c r="B180" s="24" t="s">
        <v>7</v>
      </c>
      <c r="C180" s="24" t="s">
        <v>172</v>
      </c>
      <c r="D180" s="7">
        <v>110315</v>
      </c>
      <c r="E180" s="24" t="s">
        <v>9</v>
      </c>
    </row>
    <row r="181" spans="1:5" ht="15">
      <c r="A181" s="23" t="s">
        <v>207</v>
      </c>
      <c r="B181" s="24" t="s">
        <v>7</v>
      </c>
      <c r="C181" s="24" t="s">
        <v>172</v>
      </c>
      <c r="D181" s="7">
        <v>2656</v>
      </c>
      <c r="E181" s="24" t="s">
        <v>9</v>
      </c>
    </row>
    <row r="182" spans="1:5" ht="15">
      <c r="A182" s="23" t="s">
        <v>208</v>
      </c>
      <c r="B182" s="24" t="s">
        <v>25</v>
      </c>
      <c r="C182" s="24" t="s">
        <v>172</v>
      </c>
      <c r="D182" s="7">
        <v>249424</v>
      </c>
      <c r="E182" s="24" t="s">
        <v>12</v>
      </c>
    </row>
    <row r="183" spans="1:5" ht="15">
      <c r="A183" s="23" t="s">
        <v>209</v>
      </c>
      <c r="B183" s="24" t="s">
        <v>7</v>
      </c>
      <c r="C183" s="24" t="s">
        <v>172</v>
      </c>
      <c r="D183" s="7">
        <v>218662</v>
      </c>
      <c r="E183" s="24" t="s">
        <v>12</v>
      </c>
    </row>
    <row r="184" spans="1:5" ht="15">
      <c r="A184" s="23" t="s">
        <v>210</v>
      </c>
      <c r="B184" s="24" t="s">
        <v>11</v>
      </c>
      <c r="C184" s="24" t="s">
        <v>172</v>
      </c>
      <c r="D184" s="7">
        <v>247086</v>
      </c>
      <c r="E184" s="24" t="s">
        <v>12</v>
      </c>
    </row>
    <row r="185" spans="1:5" ht="15">
      <c r="A185" s="23" t="s">
        <v>211</v>
      </c>
      <c r="B185" s="24" t="s">
        <v>11</v>
      </c>
      <c r="C185" s="24" t="s">
        <v>172</v>
      </c>
      <c r="D185" s="7">
        <v>161037</v>
      </c>
      <c r="E185" s="24" t="s">
        <v>16</v>
      </c>
    </row>
    <row r="186" spans="1:5" ht="15">
      <c r="A186" s="23" t="s">
        <v>212</v>
      </c>
      <c r="B186" s="24" t="s">
        <v>7</v>
      </c>
      <c r="C186" s="24" t="s">
        <v>172</v>
      </c>
      <c r="D186" s="7">
        <v>97480</v>
      </c>
      <c r="E186" s="24" t="s">
        <v>16</v>
      </c>
    </row>
    <row r="187" spans="1:5" ht="15">
      <c r="A187" s="23" t="s">
        <v>213</v>
      </c>
      <c r="B187" s="24" t="s">
        <v>7</v>
      </c>
      <c r="C187" s="24" t="s">
        <v>172</v>
      </c>
      <c r="D187" s="7">
        <v>230332</v>
      </c>
      <c r="E187" s="24" t="s">
        <v>16</v>
      </c>
    </row>
    <row r="188" spans="1:5" ht="15">
      <c r="A188" s="23" t="s">
        <v>214</v>
      </c>
      <c r="B188" s="24" t="s">
        <v>11</v>
      </c>
      <c r="C188" s="24" t="s">
        <v>172</v>
      </c>
      <c r="D188" s="7">
        <v>96578</v>
      </c>
      <c r="E188" s="24" t="s">
        <v>16</v>
      </c>
    </row>
    <row r="189" spans="1:5" ht="15">
      <c r="A189" s="23" t="s">
        <v>215</v>
      </c>
      <c r="B189" s="24" t="s">
        <v>11</v>
      </c>
      <c r="C189" s="24" t="s">
        <v>172</v>
      </c>
      <c r="D189" s="7">
        <v>189383</v>
      </c>
      <c r="E189" s="24" t="s">
        <v>16</v>
      </c>
    </row>
    <row r="190" spans="1:5" ht="15">
      <c r="A190" s="23" t="s">
        <v>216</v>
      </c>
      <c r="B190" s="24" t="s">
        <v>7</v>
      </c>
      <c r="C190" s="24" t="s">
        <v>172</v>
      </c>
      <c r="D190" s="7">
        <v>75968</v>
      </c>
      <c r="E190" s="24" t="s">
        <v>16</v>
      </c>
    </row>
    <row r="191" spans="1:5" ht="15">
      <c r="A191" s="23" t="s">
        <v>217</v>
      </c>
      <c r="B191" s="24" t="s">
        <v>25</v>
      </c>
      <c r="C191" s="24" t="s">
        <v>172</v>
      </c>
      <c r="D191" s="7">
        <v>278815</v>
      </c>
      <c r="E191" s="24" t="s">
        <v>16</v>
      </c>
    </row>
    <row r="192" spans="1:5" ht="15">
      <c r="A192" s="23" t="s">
        <v>218</v>
      </c>
      <c r="B192" s="24" t="s">
        <v>25</v>
      </c>
      <c r="C192" s="24" t="s">
        <v>172</v>
      </c>
      <c r="D192" s="7">
        <v>212128</v>
      </c>
      <c r="E192" s="24" t="s">
        <v>9</v>
      </c>
    </row>
    <row r="193" spans="1:5" ht="15">
      <c r="A193" s="23" t="s">
        <v>219</v>
      </c>
      <c r="B193" s="24" t="s">
        <v>11</v>
      </c>
      <c r="C193" s="24" t="s">
        <v>172</v>
      </c>
      <c r="D193" s="7">
        <v>257729</v>
      </c>
      <c r="E193" s="24" t="s">
        <v>16</v>
      </c>
    </row>
    <row r="194" spans="1:5" ht="15">
      <c r="A194" s="23" t="s">
        <v>220</v>
      </c>
      <c r="B194" s="24" t="s">
        <v>7</v>
      </c>
      <c r="C194" s="24" t="s">
        <v>172</v>
      </c>
      <c r="D194" s="7">
        <v>208225</v>
      </c>
      <c r="E194" s="24" t="s">
        <v>9</v>
      </c>
    </row>
    <row r="195" spans="1:5" ht="15">
      <c r="A195" s="23" t="s">
        <v>221</v>
      </c>
      <c r="B195" s="24" t="s">
        <v>7</v>
      </c>
      <c r="C195" s="24" t="s">
        <v>172</v>
      </c>
      <c r="D195" s="7">
        <v>288162</v>
      </c>
      <c r="E195" s="24" t="s">
        <v>16</v>
      </c>
    </row>
    <row r="196" spans="1:5" ht="15">
      <c r="A196" s="23" t="s">
        <v>222</v>
      </c>
      <c r="B196" s="24" t="s">
        <v>7</v>
      </c>
      <c r="C196" s="24" t="s">
        <v>172</v>
      </c>
      <c r="D196" s="7">
        <v>275603</v>
      </c>
      <c r="E196" s="24" t="s">
        <v>12</v>
      </c>
    </row>
    <row r="197" spans="1:5" ht="15">
      <c r="A197" s="23" t="s">
        <v>223</v>
      </c>
      <c r="B197" s="24" t="s">
        <v>7</v>
      </c>
      <c r="C197" s="24" t="s">
        <v>172</v>
      </c>
      <c r="D197" s="7">
        <v>74002</v>
      </c>
      <c r="E197" s="24" t="s">
        <v>9</v>
      </c>
    </row>
    <row r="198" spans="1:5" ht="15">
      <c r="A198" s="23" t="s">
        <v>224</v>
      </c>
      <c r="B198" s="24" t="s">
        <v>7</v>
      </c>
      <c r="C198" s="24" t="s">
        <v>172</v>
      </c>
      <c r="D198" s="7">
        <v>149988</v>
      </c>
      <c r="E198" s="24" t="s">
        <v>16</v>
      </c>
    </row>
    <row r="199" spans="1:5" ht="15">
      <c r="A199" s="23" t="s">
        <v>225</v>
      </c>
      <c r="B199" s="24" t="s">
        <v>7</v>
      </c>
      <c r="C199" s="24" t="s">
        <v>172</v>
      </c>
      <c r="D199" s="7">
        <v>163267</v>
      </c>
      <c r="E199" s="24" t="s">
        <v>16</v>
      </c>
    </row>
    <row r="200" spans="1:5" ht="15">
      <c r="A200" s="23" t="s">
        <v>226</v>
      </c>
      <c r="B200" s="24" t="s">
        <v>7</v>
      </c>
      <c r="C200" s="24" t="s">
        <v>172</v>
      </c>
      <c r="D200" s="7">
        <v>234925</v>
      </c>
      <c r="E200" s="24" t="s">
        <v>12</v>
      </c>
    </row>
    <row r="201" spans="1:5" ht="15">
      <c r="A201" s="23" t="s">
        <v>227</v>
      </c>
      <c r="B201" s="24" t="s">
        <v>7</v>
      </c>
      <c r="C201" s="24" t="s">
        <v>172</v>
      </c>
      <c r="D201" s="7">
        <v>213582</v>
      </c>
      <c r="E201" s="24" t="s">
        <v>9</v>
      </c>
    </row>
    <row r="202" spans="1:5" ht="15">
      <c r="A202" s="23" t="s">
        <v>228</v>
      </c>
      <c r="B202" s="24" t="s">
        <v>11</v>
      </c>
      <c r="C202" s="24" t="s">
        <v>172</v>
      </c>
      <c r="D202" s="7">
        <v>17263</v>
      </c>
      <c r="E202" s="24" t="s">
        <v>16</v>
      </c>
    </row>
    <row r="203" spans="1:5" ht="15">
      <c r="A203" s="23" t="s">
        <v>229</v>
      </c>
      <c r="B203" s="24" t="s">
        <v>7</v>
      </c>
      <c r="C203" s="24" t="s">
        <v>172</v>
      </c>
      <c r="D203" s="7">
        <v>1945</v>
      </c>
      <c r="E203" s="24" t="s">
        <v>16</v>
      </c>
    </row>
    <row r="204" spans="1:5" ht="15">
      <c r="A204" s="23" t="s">
        <v>230</v>
      </c>
      <c r="B204" s="24" t="s">
        <v>11</v>
      </c>
      <c r="C204" s="24" t="s">
        <v>172</v>
      </c>
      <c r="D204" s="7">
        <v>240269</v>
      </c>
      <c r="E204" s="24" t="s">
        <v>16</v>
      </c>
    </row>
    <row r="205" spans="1:5" ht="15">
      <c r="A205" s="23" t="s">
        <v>231</v>
      </c>
      <c r="B205" s="24" t="s">
        <v>11</v>
      </c>
      <c r="C205" s="24" t="s">
        <v>172</v>
      </c>
      <c r="D205" s="7">
        <v>214819</v>
      </c>
      <c r="E205" s="24" t="s">
        <v>16</v>
      </c>
    </row>
    <row r="206" spans="1:5" ht="15">
      <c r="A206" s="23" t="s">
        <v>232</v>
      </c>
      <c r="B206" s="24" t="s">
        <v>25</v>
      </c>
      <c r="C206" s="24" t="s">
        <v>172</v>
      </c>
      <c r="D206" s="7">
        <v>66292</v>
      </c>
      <c r="E206" s="24" t="s">
        <v>9</v>
      </c>
    </row>
    <row r="207" spans="1:5" ht="15">
      <c r="A207" s="23" t="s">
        <v>233</v>
      </c>
      <c r="B207" s="24" t="s">
        <v>11</v>
      </c>
      <c r="C207" s="24" t="s">
        <v>172</v>
      </c>
      <c r="D207" s="7">
        <v>227793</v>
      </c>
      <c r="E207" s="24" t="s">
        <v>9</v>
      </c>
    </row>
    <row r="208" spans="1:5" ht="15">
      <c r="A208" s="23" t="s">
        <v>234</v>
      </c>
      <c r="B208" s="24" t="s">
        <v>11</v>
      </c>
      <c r="C208" s="24" t="s">
        <v>172</v>
      </c>
      <c r="D208" s="7">
        <v>128318</v>
      </c>
      <c r="E208" s="24" t="s">
        <v>16</v>
      </c>
    </row>
    <row r="209" spans="1:5" ht="15">
      <c r="A209" s="23" t="s">
        <v>235</v>
      </c>
      <c r="B209" s="24" t="s">
        <v>11</v>
      </c>
      <c r="C209" s="24" t="s">
        <v>172</v>
      </c>
      <c r="D209" s="7">
        <v>55848</v>
      </c>
      <c r="E209" s="24" t="s">
        <v>12</v>
      </c>
    </row>
    <row r="210" spans="1:5" ht="15">
      <c r="A210" s="23" t="s">
        <v>236</v>
      </c>
      <c r="B210" s="24" t="s">
        <v>237</v>
      </c>
      <c r="C210" s="24" t="s">
        <v>172</v>
      </c>
      <c r="D210" s="7">
        <v>47208</v>
      </c>
      <c r="E210" s="24" t="s">
        <v>16</v>
      </c>
    </row>
    <row r="211" spans="1:5" ht="15">
      <c r="A211" s="23" t="s">
        <v>238</v>
      </c>
      <c r="B211" s="24" t="s">
        <v>25</v>
      </c>
      <c r="C211" s="24" t="s">
        <v>172</v>
      </c>
      <c r="D211" s="7">
        <v>16915</v>
      </c>
      <c r="E211" s="24" t="s">
        <v>12</v>
      </c>
    </row>
    <row r="212" spans="1:5" ht="15">
      <c r="A212" s="23" t="s">
        <v>239</v>
      </c>
      <c r="B212" s="24" t="s">
        <v>7</v>
      </c>
      <c r="C212" s="24" t="s">
        <v>172</v>
      </c>
      <c r="D212" s="7">
        <v>16372</v>
      </c>
      <c r="E212" s="24" t="s">
        <v>12</v>
      </c>
    </row>
    <row r="213" spans="1:5" ht="15">
      <c r="A213" s="23" t="s">
        <v>240</v>
      </c>
      <c r="B213" s="24" t="s">
        <v>7</v>
      </c>
      <c r="C213" s="24" t="s">
        <v>172</v>
      </c>
      <c r="D213" s="7">
        <v>180176</v>
      </c>
      <c r="E213" s="24" t="s">
        <v>9</v>
      </c>
    </row>
    <row r="214" spans="1:5" ht="15">
      <c r="A214" s="23" t="s">
        <v>241</v>
      </c>
      <c r="B214" s="24" t="s">
        <v>7</v>
      </c>
      <c r="C214" s="24" t="s">
        <v>172</v>
      </c>
      <c r="D214" s="7">
        <v>188825</v>
      </c>
      <c r="E214" s="24" t="s">
        <v>16</v>
      </c>
    </row>
    <row r="215" spans="1:5" ht="15">
      <c r="A215" s="23" t="s">
        <v>242</v>
      </c>
      <c r="B215" s="24" t="s">
        <v>11</v>
      </c>
      <c r="C215" s="24" t="s">
        <v>172</v>
      </c>
      <c r="D215" s="7">
        <v>204725</v>
      </c>
      <c r="E215" s="24" t="s">
        <v>9</v>
      </c>
    </row>
    <row r="216" spans="1:5" ht="15">
      <c r="A216" s="23" t="s">
        <v>243</v>
      </c>
      <c r="B216" s="24" t="s">
        <v>7</v>
      </c>
      <c r="C216" s="24" t="s">
        <v>172</v>
      </c>
      <c r="D216" s="7">
        <v>2368</v>
      </c>
      <c r="E216" s="24" t="s">
        <v>9</v>
      </c>
    </row>
    <row r="217" spans="1:5" ht="15">
      <c r="A217" s="23" t="s">
        <v>244</v>
      </c>
      <c r="B217" s="24" t="s">
        <v>237</v>
      </c>
      <c r="C217" s="24" t="s">
        <v>172</v>
      </c>
      <c r="D217" s="7">
        <v>187708</v>
      </c>
      <c r="E217" s="24" t="s">
        <v>12</v>
      </c>
    </row>
    <row r="218" spans="1:5" ht="15">
      <c r="A218" s="23" t="s">
        <v>245</v>
      </c>
      <c r="B218" s="24" t="s">
        <v>11</v>
      </c>
      <c r="C218" s="24" t="s">
        <v>172</v>
      </c>
      <c r="D218" s="7">
        <v>279735</v>
      </c>
      <c r="E218" s="24" t="s">
        <v>16</v>
      </c>
    </row>
    <row r="219" spans="1:5" ht="15">
      <c r="A219" s="23" t="s">
        <v>246</v>
      </c>
      <c r="B219" s="24" t="s">
        <v>7</v>
      </c>
      <c r="C219" s="24" t="s">
        <v>172</v>
      </c>
      <c r="D219" s="7">
        <v>119102</v>
      </c>
      <c r="E219" s="24" t="s">
        <v>9</v>
      </c>
    </row>
    <row r="220" spans="1:5" ht="15">
      <c r="A220" s="23" t="s">
        <v>247</v>
      </c>
      <c r="B220" s="24" t="s">
        <v>7</v>
      </c>
      <c r="C220" s="24" t="s">
        <v>172</v>
      </c>
      <c r="D220" s="7">
        <v>123039</v>
      </c>
      <c r="E220" s="24" t="s">
        <v>12</v>
      </c>
    </row>
    <row r="221" spans="1:5" ht="15">
      <c r="A221" s="23" t="s">
        <v>248</v>
      </c>
      <c r="B221" s="24" t="s">
        <v>7</v>
      </c>
      <c r="C221" s="24" t="s">
        <v>172</v>
      </c>
      <c r="D221" s="7">
        <v>253873</v>
      </c>
      <c r="E221" s="24" t="s">
        <v>16</v>
      </c>
    </row>
    <row r="222" spans="1:5" ht="15">
      <c r="A222" s="23" t="s">
        <v>249</v>
      </c>
      <c r="B222" s="24" t="s">
        <v>7</v>
      </c>
      <c r="C222" s="24" t="s">
        <v>172</v>
      </c>
      <c r="D222" s="7">
        <v>90430</v>
      </c>
      <c r="E222" s="24" t="s">
        <v>9</v>
      </c>
    </row>
    <row r="223" spans="1:5" ht="15">
      <c r="A223" s="23" t="s">
        <v>250</v>
      </c>
      <c r="B223" s="24" t="s">
        <v>7</v>
      </c>
      <c r="C223" s="24" t="s">
        <v>172</v>
      </c>
      <c r="D223" s="7">
        <v>93141</v>
      </c>
      <c r="E223" s="24" t="s">
        <v>12</v>
      </c>
    </row>
    <row r="224" spans="1:5" ht="15">
      <c r="A224" s="23" t="s">
        <v>251</v>
      </c>
      <c r="B224" s="24" t="s">
        <v>25</v>
      </c>
      <c r="C224" s="24" t="s">
        <v>172</v>
      </c>
      <c r="D224" s="7">
        <v>200448</v>
      </c>
      <c r="E224" s="24" t="s">
        <v>12</v>
      </c>
    </row>
    <row r="225" spans="1:5" ht="15">
      <c r="A225" s="23" t="s">
        <v>252</v>
      </c>
      <c r="B225" s="24" t="s">
        <v>7</v>
      </c>
      <c r="C225" s="24" t="s">
        <v>172</v>
      </c>
      <c r="D225" s="7">
        <v>282326</v>
      </c>
      <c r="E225" s="24" t="s">
        <v>16</v>
      </c>
    </row>
    <row r="226" spans="1:5" ht="15">
      <c r="A226" s="23" t="s">
        <v>253</v>
      </c>
      <c r="B226" s="24" t="s">
        <v>7</v>
      </c>
      <c r="C226" s="24" t="s">
        <v>172</v>
      </c>
      <c r="D226" s="7">
        <v>32701</v>
      </c>
      <c r="E226" s="24" t="s">
        <v>9</v>
      </c>
    </row>
    <row r="227" spans="1:5" ht="15">
      <c r="A227" s="23" t="s">
        <v>254</v>
      </c>
      <c r="B227" s="24" t="s">
        <v>11</v>
      </c>
      <c r="C227" s="24" t="s">
        <v>172</v>
      </c>
      <c r="D227" s="7">
        <v>264505</v>
      </c>
      <c r="E227" s="24" t="s">
        <v>12</v>
      </c>
    </row>
    <row r="228" spans="1:5" ht="15">
      <c r="A228" s="23" t="s">
        <v>255</v>
      </c>
      <c r="B228" s="24" t="s">
        <v>11</v>
      </c>
      <c r="C228" s="24" t="s">
        <v>172</v>
      </c>
      <c r="D228" s="7">
        <v>207059</v>
      </c>
      <c r="E228" s="24" t="s">
        <v>9</v>
      </c>
    </row>
    <row r="229" spans="1:5" ht="15">
      <c r="A229" s="23" t="s">
        <v>256</v>
      </c>
      <c r="B229" s="24" t="s">
        <v>7</v>
      </c>
      <c r="C229" s="24" t="s">
        <v>172</v>
      </c>
      <c r="D229" s="7">
        <v>36526</v>
      </c>
      <c r="E229" s="24" t="s">
        <v>16</v>
      </c>
    </row>
    <row r="230" spans="1:5" ht="15">
      <c r="A230" s="23" t="s">
        <v>257</v>
      </c>
      <c r="B230" s="24" t="s">
        <v>7</v>
      </c>
      <c r="C230" s="24" t="s">
        <v>172</v>
      </c>
      <c r="D230" s="7">
        <v>175824</v>
      </c>
      <c r="E230" s="24" t="s">
        <v>16</v>
      </c>
    </row>
    <row r="231" spans="1:5" ht="15">
      <c r="A231" s="23" t="s">
        <v>259</v>
      </c>
      <c r="B231" s="24" t="s">
        <v>11</v>
      </c>
      <c r="C231" s="24" t="s">
        <v>172</v>
      </c>
      <c r="D231" s="7">
        <v>201251</v>
      </c>
      <c r="E231" s="24" t="s">
        <v>12</v>
      </c>
    </row>
    <row r="232" spans="1:5" ht="15">
      <c r="A232" s="23" t="s">
        <v>260</v>
      </c>
      <c r="B232" s="24" t="s">
        <v>7</v>
      </c>
      <c r="C232" s="24" t="s">
        <v>172</v>
      </c>
      <c r="D232" s="7">
        <v>232042</v>
      </c>
      <c r="E232" s="24" t="s">
        <v>9</v>
      </c>
    </row>
    <row r="233" spans="1:5" ht="15">
      <c r="A233" s="23" t="s">
        <v>261</v>
      </c>
      <c r="B233" s="24" t="s">
        <v>11</v>
      </c>
      <c r="C233" s="24" t="s">
        <v>172</v>
      </c>
      <c r="D233" s="7">
        <v>34336</v>
      </c>
      <c r="E233" s="24" t="s">
        <v>12</v>
      </c>
    </row>
    <row r="234" spans="1:5" ht="15">
      <c r="A234" s="23" t="s">
        <v>262</v>
      </c>
      <c r="B234" s="24" t="s">
        <v>237</v>
      </c>
      <c r="C234" s="24" t="s">
        <v>172</v>
      </c>
      <c r="D234" s="7">
        <v>184371</v>
      </c>
      <c r="E234" s="24" t="s">
        <v>12</v>
      </c>
    </row>
    <row r="235" spans="1:5" ht="15">
      <c r="A235" s="23" t="s">
        <v>263</v>
      </c>
      <c r="B235" s="24" t="s">
        <v>7</v>
      </c>
      <c r="C235" s="24" t="s">
        <v>172</v>
      </c>
      <c r="D235" s="7">
        <v>128875</v>
      </c>
      <c r="E235" s="24" t="s">
        <v>12</v>
      </c>
    </row>
    <row r="236" spans="1:5" ht="15">
      <c r="A236" s="23" t="s">
        <v>264</v>
      </c>
      <c r="B236" s="24" t="s">
        <v>7</v>
      </c>
      <c r="C236" s="24" t="s">
        <v>172</v>
      </c>
      <c r="D236" s="7">
        <v>4980</v>
      </c>
      <c r="E236" s="24" t="s">
        <v>16</v>
      </c>
    </row>
    <row r="237" spans="1:5" ht="15">
      <c r="A237" s="23" t="s">
        <v>265</v>
      </c>
      <c r="B237" s="24" t="s">
        <v>237</v>
      </c>
      <c r="C237" s="24" t="s">
        <v>172</v>
      </c>
      <c r="D237" s="7">
        <v>109242</v>
      </c>
      <c r="E237" s="24" t="s">
        <v>12</v>
      </c>
    </row>
    <row r="238" spans="1:5" ht="15">
      <c r="A238" s="23" t="s">
        <v>266</v>
      </c>
      <c r="B238" s="24" t="s">
        <v>7</v>
      </c>
      <c r="C238" s="24" t="s">
        <v>172</v>
      </c>
      <c r="D238" s="7">
        <v>71828</v>
      </c>
      <c r="E238" s="24" t="s">
        <v>12</v>
      </c>
    </row>
    <row r="239" spans="1:5" ht="15">
      <c r="A239" s="23" t="s">
        <v>267</v>
      </c>
      <c r="B239" s="24" t="s">
        <v>7</v>
      </c>
      <c r="C239" s="24" t="s">
        <v>172</v>
      </c>
      <c r="D239" s="7">
        <v>251944</v>
      </c>
      <c r="E239" s="24" t="s">
        <v>16</v>
      </c>
    </row>
    <row r="240" spans="1:5" ht="15">
      <c r="A240" s="23" t="s">
        <v>268</v>
      </c>
      <c r="B240" s="24" t="s">
        <v>7</v>
      </c>
      <c r="C240" s="24" t="s">
        <v>172</v>
      </c>
      <c r="D240" s="7">
        <v>102282</v>
      </c>
      <c r="E240" s="24" t="s">
        <v>12</v>
      </c>
    </row>
    <row r="241" spans="1:5" ht="15">
      <c r="A241" s="23" t="s">
        <v>269</v>
      </c>
      <c r="B241" s="24" t="s">
        <v>7</v>
      </c>
      <c r="C241" s="24" t="s">
        <v>172</v>
      </c>
      <c r="D241" s="7">
        <v>203472</v>
      </c>
      <c r="E241" s="24" t="s">
        <v>9</v>
      </c>
    </row>
    <row r="242" spans="1:5" ht="15">
      <c r="A242" s="23" t="s">
        <v>270</v>
      </c>
      <c r="B242" s="24" t="s">
        <v>7</v>
      </c>
      <c r="C242" s="24" t="s">
        <v>172</v>
      </c>
      <c r="D242" s="7">
        <v>9967</v>
      </c>
      <c r="E242" s="24" t="s">
        <v>16</v>
      </c>
    </row>
    <row r="243" spans="1:5" ht="15">
      <c r="A243" s="23" t="s">
        <v>271</v>
      </c>
      <c r="B243" s="24" t="s">
        <v>11</v>
      </c>
      <c r="C243" s="24" t="s">
        <v>172</v>
      </c>
      <c r="D243" s="7">
        <v>252963</v>
      </c>
      <c r="E243" s="24" t="s">
        <v>9</v>
      </c>
    </row>
    <row r="244" spans="1:5" ht="15">
      <c r="A244" s="23" t="s">
        <v>272</v>
      </c>
      <c r="B244" s="24" t="s">
        <v>7</v>
      </c>
      <c r="C244" s="24" t="s">
        <v>172</v>
      </c>
      <c r="D244" s="7">
        <v>166876</v>
      </c>
      <c r="E244" s="24" t="s">
        <v>16</v>
      </c>
    </row>
    <row r="245" spans="1:5" ht="15">
      <c r="A245" s="23" t="s">
        <v>273</v>
      </c>
      <c r="B245" s="24" t="s">
        <v>25</v>
      </c>
      <c r="C245" s="24" t="s">
        <v>172</v>
      </c>
      <c r="D245" s="7">
        <v>43258</v>
      </c>
      <c r="E245" s="24" t="s">
        <v>9</v>
      </c>
    </row>
    <row r="246" spans="1:5" ht="15">
      <c r="A246" s="23" t="s">
        <v>274</v>
      </c>
      <c r="B246" s="24" t="s">
        <v>7</v>
      </c>
      <c r="C246" s="24" t="s">
        <v>172</v>
      </c>
      <c r="D246" s="7">
        <v>196632</v>
      </c>
      <c r="E246" s="24" t="s">
        <v>12</v>
      </c>
    </row>
    <row r="247" spans="1:5" ht="15">
      <c r="A247" s="23" t="s">
        <v>275</v>
      </c>
      <c r="B247" s="24" t="s">
        <v>7</v>
      </c>
      <c r="C247" s="24" t="s">
        <v>172</v>
      </c>
      <c r="D247" s="7">
        <v>272701</v>
      </c>
      <c r="E247" s="24" t="s">
        <v>9</v>
      </c>
    </row>
    <row r="248" spans="1:5" ht="15">
      <c r="A248" s="23" t="s">
        <v>276</v>
      </c>
      <c r="B248" s="24" t="s">
        <v>7</v>
      </c>
      <c r="C248" s="24" t="s">
        <v>172</v>
      </c>
      <c r="D248" s="7">
        <v>14812</v>
      </c>
      <c r="E248" s="24" t="s">
        <v>9</v>
      </c>
    </row>
    <row r="249" spans="1:5" ht="15">
      <c r="A249" s="23" t="s">
        <v>277</v>
      </c>
      <c r="B249" s="24" t="s">
        <v>11</v>
      </c>
      <c r="C249" s="24" t="s">
        <v>172</v>
      </c>
      <c r="D249" s="7">
        <v>219811</v>
      </c>
      <c r="E249" s="24" t="s">
        <v>9</v>
      </c>
    </row>
    <row r="250" spans="1:5" ht="15">
      <c r="A250" s="23" t="s">
        <v>278</v>
      </c>
      <c r="B250" s="24" t="s">
        <v>7</v>
      </c>
      <c r="C250" s="24" t="s">
        <v>172</v>
      </c>
      <c r="D250" s="7">
        <v>235169</v>
      </c>
      <c r="E250" s="24" t="s">
        <v>9</v>
      </c>
    </row>
    <row r="251" spans="1:5" ht="15">
      <c r="A251" s="23" t="s">
        <v>279</v>
      </c>
      <c r="B251" s="24" t="s">
        <v>237</v>
      </c>
      <c r="C251" s="24" t="s">
        <v>172</v>
      </c>
      <c r="D251" s="7">
        <v>170324</v>
      </c>
      <c r="E251" s="24" t="s">
        <v>12</v>
      </c>
    </row>
    <row r="252" spans="1:5" ht="15">
      <c r="A252" s="23" t="s">
        <v>280</v>
      </c>
      <c r="B252" s="24" t="s">
        <v>11</v>
      </c>
      <c r="C252" s="24" t="s">
        <v>172</v>
      </c>
      <c r="D252" s="7">
        <v>222488</v>
      </c>
      <c r="E252" s="24" t="s">
        <v>16</v>
      </c>
    </row>
    <row r="253" spans="1:5" ht="15">
      <c r="A253" s="23" t="s">
        <v>281</v>
      </c>
      <c r="B253" s="24" t="s">
        <v>11</v>
      </c>
      <c r="C253" s="24" t="s">
        <v>172</v>
      </c>
      <c r="D253" s="7">
        <v>220247</v>
      </c>
      <c r="E253" s="24" t="s">
        <v>16</v>
      </c>
    </row>
    <row r="254" spans="1:5" ht="15">
      <c r="A254" s="23" t="s">
        <v>282</v>
      </c>
      <c r="B254" s="24" t="s">
        <v>11</v>
      </c>
      <c r="C254" s="24" t="s">
        <v>172</v>
      </c>
      <c r="D254" s="7">
        <v>200519</v>
      </c>
      <c r="E254" s="24" t="s">
        <v>12</v>
      </c>
    </row>
    <row r="255" spans="1:5" ht="15">
      <c r="A255" s="23" t="s">
        <v>283</v>
      </c>
      <c r="B255" s="24" t="s">
        <v>7</v>
      </c>
      <c r="C255" s="24" t="s">
        <v>172</v>
      </c>
      <c r="D255" s="7">
        <v>247856</v>
      </c>
      <c r="E255" s="24" t="s">
        <v>12</v>
      </c>
    </row>
    <row r="256" spans="1:5" ht="15">
      <c r="A256" s="23" t="s">
        <v>284</v>
      </c>
      <c r="B256" s="24" t="s">
        <v>11</v>
      </c>
      <c r="C256" s="24" t="s">
        <v>172</v>
      </c>
      <c r="D256" s="7">
        <v>59938</v>
      </c>
      <c r="E256" s="24" t="s">
        <v>16</v>
      </c>
    </row>
    <row r="257" spans="1:5" ht="15">
      <c r="A257" s="23" t="s">
        <v>285</v>
      </c>
      <c r="B257" s="24" t="s">
        <v>7</v>
      </c>
      <c r="C257" s="24" t="s">
        <v>172</v>
      </c>
      <c r="D257" s="7">
        <v>143213</v>
      </c>
      <c r="E257" s="24" t="s">
        <v>12</v>
      </c>
    </row>
    <row r="258" spans="1:5" ht="15">
      <c r="A258" s="23" t="s">
        <v>286</v>
      </c>
      <c r="B258" s="24" t="s">
        <v>7</v>
      </c>
      <c r="C258" s="24" t="s">
        <v>172</v>
      </c>
      <c r="D258" s="7">
        <v>10258</v>
      </c>
      <c r="E258" s="24" t="s">
        <v>16</v>
      </c>
    </row>
    <row r="259" spans="1:5" ht="15">
      <c r="A259" s="23" t="s">
        <v>287</v>
      </c>
      <c r="B259" s="24" t="s">
        <v>11</v>
      </c>
      <c r="C259" s="24" t="s">
        <v>172</v>
      </c>
      <c r="D259" s="7">
        <v>255850</v>
      </c>
      <c r="E259" s="24" t="s">
        <v>16</v>
      </c>
    </row>
    <row r="260" spans="1:5" ht="15">
      <c r="A260" s="23" t="s">
        <v>288</v>
      </c>
      <c r="B260" s="24" t="s">
        <v>7</v>
      </c>
      <c r="C260" s="24" t="s">
        <v>172</v>
      </c>
      <c r="D260" s="7">
        <v>20944</v>
      </c>
      <c r="E260" s="24" t="s">
        <v>9</v>
      </c>
    </row>
    <row r="261" spans="1:5" ht="15">
      <c r="A261" s="23" t="s">
        <v>289</v>
      </c>
      <c r="B261" s="24" t="s">
        <v>7</v>
      </c>
      <c r="C261" s="24" t="s">
        <v>172</v>
      </c>
      <c r="D261" s="7">
        <v>292982</v>
      </c>
      <c r="E261" s="24" t="s">
        <v>9</v>
      </c>
    </row>
    <row r="262" spans="1:5" ht="15">
      <c r="A262" s="23" t="s">
        <v>290</v>
      </c>
      <c r="B262" s="24" t="s">
        <v>7</v>
      </c>
      <c r="C262" s="24" t="s">
        <v>172</v>
      </c>
      <c r="D262" s="7">
        <v>201268</v>
      </c>
      <c r="E262" s="24" t="s">
        <v>9</v>
      </c>
    </row>
    <row r="263" spans="1:5" ht="15">
      <c r="A263" s="23" t="s">
        <v>291</v>
      </c>
      <c r="B263" s="24" t="s">
        <v>7</v>
      </c>
      <c r="C263" s="24" t="s">
        <v>172</v>
      </c>
      <c r="D263" s="7">
        <v>93893</v>
      </c>
      <c r="E263" s="24" t="s">
        <v>12</v>
      </c>
    </row>
    <row r="264" spans="1:5" ht="15">
      <c r="A264" s="23" t="s">
        <v>292</v>
      </c>
      <c r="B264" s="24" t="s">
        <v>7</v>
      </c>
      <c r="C264" s="24" t="s">
        <v>172</v>
      </c>
      <c r="D264" s="7">
        <v>112272</v>
      </c>
      <c r="E264" s="24" t="s">
        <v>16</v>
      </c>
    </row>
    <row r="265" spans="1:5" ht="15">
      <c r="A265" s="23" t="s">
        <v>293</v>
      </c>
      <c r="B265" s="24" t="s">
        <v>11</v>
      </c>
      <c r="C265" s="24" t="s">
        <v>172</v>
      </c>
      <c r="D265" s="7">
        <v>215981</v>
      </c>
      <c r="E265" s="24" t="s">
        <v>16</v>
      </c>
    </row>
    <row r="266" spans="1:5" ht="15">
      <c r="A266" s="23" t="s">
        <v>294</v>
      </c>
      <c r="B266" s="24" t="s">
        <v>7</v>
      </c>
      <c r="C266" s="24" t="s">
        <v>172</v>
      </c>
      <c r="D266" s="7">
        <v>35267</v>
      </c>
      <c r="E266" s="24" t="s">
        <v>16</v>
      </c>
    </row>
    <row r="267" spans="1:5" ht="15">
      <c r="A267" s="23" t="s">
        <v>295</v>
      </c>
      <c r="B267" s="24" t="s">
        <v>7</v>
      </c>
      <c r="C267" s="24" t="s">
        <v>172</v>
      </c>
      <c r="D267" s="7">
        <v>38264</v>
      </c>
      <c r="E267" s="24" t="s">
        <v>12</v>
      </c>
    </row>
    <row r="268" spans="1:5" ht="15">
      <c r="A268" s="23" t="s">
        <v>296</v>
      </c>
      <c r="B268" s="24" t="s">
        <v>237</v>
      </c>
      <c r="C268" s="24" t="s">
        <v>172</v>
      </c>
      <c r="D268" s="7">
        <v>72935</v>
      </c>
      <c r="E268" s="24" t="s">
        <v>12</v>
      </c>
    </row>
    <row r="269" spans="1:5" ht="15">
      <c r="A269" s="23" t="s">
        <v>297</v>
      </c>
      <c r="B269" s="24" t="s">
        <v>7</v>
      </c>
      <c r="C269" s="24" t="s">
        <v>172</v>
      </c>
      <c r="D269" s="7">
        <v>85861</v>
      </c>
      <c r="E269" s="24" t="s">
        <v>12</v>
      </c>
    </row>
    <row r="270" spans="1:5" ht="15">
      <c r="A270" s="23" t="s">
        <v>298</v>
      </c>
      <c r="B270" s="24" t="s">
        <v>7</v>
      </c>
      <c r="C270" s="24" t="s">
        <v>172</v>
      </c>
      <c r="D270" s="7">
        <v>25882</v>
      </c>
      <c r="E270" s="24" t="s">
        <v>12</v>
      </c>
    </row>
    <row r="271" spans="1:5" ht="15">
      <c r="A271" s="23" t="s">
        <v>299</v>
      </c>
      <c r="B271" s="24" t="s">
        <v>7</v>
      </c>
      <c r="C271" s="24" t="s">
        <v>172</v>
      </c>
      <c r="D271" s="7">
        <v>69539</v>
      </c>
      <c r="E271" s="24" t="s">
        <v>9</v>
      </c>
    </row>
    <row r="272" spans="1:5" ht="15">
      <c r="A272" s="23" t="s">
        <v>300</v>
      </c>
      <c r="B272" s="24" t="s">
        <v>11</v>
      </c>
      <c r="C272" s="24" t="s">
        <v>172</v>
      </c>
      <c r="D272" s="7">
        <v>99655</v>
      </c>
      <c r="E272" s="24" t="s">
        <v>16</v>
      </c>
    </row>
    <row r="273" spans="1:5" ht="15">
      <c r="A273" s="23" t="s">
        <v>301</v>
      </c>
      <c r="B273" s="24" t="s">
        <v>7</v>
      </c>
      <c r="C273" s="24" t="s">
        <v>172</v>
      </c>
      <c r="D273" s="7">
        <v>257129</v>
      </c>
      <c r="E273" s="24" t="s">
        <v>9</v>
      </c>
    </row>
    <row r="274" spans="1:5" ht="15">
      <c r="A274" s="23" t="s">
        <v>302</v>
      </c>
      <c r="B274" s="24" t="s">
        <v>7</v>
      </c>
      <c r="C274" s="24" t="s">
        <v>172</v>
      </c>
      <c r="D274" s="7">
        <v>196241</v>
      </c>
      <c r="E274" s="24" t="s">
        <v>16</v>
      </c>
    </row>
    <row r="275" spans="1:5" ht="15">
      <c r="A275" s="23" t="s">
        <v>303</v>
      </c>
      <c r="B275" s="24" t="s">
        <v>11</v>
      </c>
      <c r="C275" s="24" t="s">
        <v>172</v>
      </c>
      <c r="D275" s="7">
        <v>35405</v>
      </c>
      <c r="E275" s="24" t="s">
        <v>9</v>
      </c>
    </row>
    <row r="276" spans="1:5" ht="15">
      <c r="A276" s="23" t="s">
        <v>304</v>
      </c>
      <c r="B276" s="24" t="s">
        <v>7</v>
      </c>
      <c r="C276" s="24" t="s">
        <v>172</v>
      </c>
      <c r="D276" s="7">
        <v>157012</v>
      </c>
      <c r="E276" s="24" t="s">
        <v>12</v>
      </c>
    </row>
    <row r="277" spans="1:5" ht="15">
      <c r="A277" s="23" t="s">
        <v>305</v>
      </c>
      <c r="B277" s="24" t="s">
        <v>7</v>
      </c>
      <c r="C277" s="24" t="s">
        <v>172</v>
      </c>
      <c r="D277" s="7">
        <v>293223</v>
      </c>
      <c r="E277" s="24" t="s">
        <v>16</v>
      </c>
    </row>
    <row r="278" spans="1:5" ht="15">
      <c r="A278" s="23" t="s">
        <v>306</v>
      </c>
      <c r="B278" s="24" t="s">
        <v>11</v>
      </c>
      <c r="C278" s="24" t="s">
        <v>172</v>
      </c>
      <c r="D278" s="7">
        <v>239250</v>
      </c>
      <c r="E278" s="24" t="s">
        <v>12</v>
      </c>
    </row>
    <row r="279" spans="1:5" ht="15">
      <c r="A279" s="23" t="s">
        <v>307</v>
      </c>
      <c r="B279" s="24" t="s">
        <v>7</v>
      </c>
      <c r="C279" s="24" t="s">
        <v>172</v>
      </c>
      <c r="D279" s="7">
        <v>168156</v>
      </c>
      <c r="E279" s="24" t="s">
        <v>9</v>
      </c>
    </row>
    <row r="280" spans="1:5" ht="15">
      <c r="A280" s="23" t="s">
        <v>308</v>
      </c>
      <c r="B280" s="24" t="s">
        <v>25</v>
      </c>
      <c r="C280" s="24" t="s">
        <v>172</v>
      </c>
      <c r="D280" s="7">
        <v>149864</v>
      </c>
      <c r="E280" s="24" t="s">
        <v>9</v>
      </c>
    </row>
    <row r="281" spans="1:5" ht="15">
      <c r="A281" s="23" t="s">
        <v>309</v>
      </c>
      <c r="B281" s="24" t="s">
        <v>237</v>
      </c>
      <c r="C281" s="24" t="s">
        <v>172</v>
      </c>
      <c r="D281" s="7">
        <v>32633</v>
      </c>
      <c r="E281" s="24" t="s">
        <v>12</v>
      </c>
    </row>
    <row r="282" spans="1:5" ht="15">
      <c r="A282" s="23" t="s">
        <v>310</v>
      </c>
      <c r="B282" s="24" t="s">
        <v>11</v>
      </c>
      <c r="C282" s="24" t="s">
        <v>172</v>
      </c>
      <c r="D282" s="7">
        <v>162773</v>
      </c>
      <c r="E282" s="24" t="s">
        <v>12</v>
      </c>
    </row>
    <row r="283" spans="1:5" ht="15">
      <c r="A283" s="23" t="s">
        <v>311</v>
      </c>
      <c r="B283" s="24" t="s">
        <v>7</v>
      </c>
      <c r="C283" s="24" t="s">
        <v>172</v>
      </c>
      <c r="D283" s="7">
        <v>282550</v>
      </c>
      <c r="E283" s="24" t="s">
        <v>16</v>
      </c>
    </row>
    <row r="284" spans="1:5" ht="15">
      <c r="A284" s="23" t="s">
        <v>312</v>
      </c>
      <c r="B284" s="24" t="s">
        <v>7</v>
      </c>
      <c r="C284" s="24" t="s">
        <v>172</v>
      </c>
      <c r="D284" s="7">
        <v>131600</v>
      </c>
      <c r="E284" s="24" t="s">
        <v>12</v>
      </c>
    </row>
    <row r="285" spans="1:5" ht="15">
      <c r="A285" s="23" t="s">
        <v>313</v>
      </c>
      <c r="B285" s="24" t="s">
        <v>237</v>
      </c>
      <c r="C285" s="24" t="s">
        <v>172</v>
      </c>
      <c r="D285" s="7">
        <v>186258</v>
      </c>
      <c r="E285" s="24" t="s">
        <v>12</v>
      </c>
    </row>
    <row r="286" spans="1:5" ht="15">
      <c r="A286" s="23" t="s">
        <v>314</v>
      </c>
      <c r="B286" s="24" t="s">
        <v>7</v>
      </c>
      <c r="C286" s="24" t="s">
        <v>172</v>
      </c>
      <c r="D286" s="7">
        <v>258889</v>
      </c>
      <c r="E286" s="24" t="s">
        <v>16</v>
      </c>
    </row>
    <row r="287" spans="1:5" ht="15">
      <c r="A287" s="23" t="s">
        <v>315</v>
      </c>
      <c r="B287" s="24" t="s">
        <v>11</v>
      </c>
      <c r="C287" s="24" t="s">
        <v>172</v>
      </c>
      <c r="D287" s="7">
        <v>7693</v>
      </c>
      <c r="E287" s="24" t="s">
        <v>12</v>
      </c>
    </row>
    <row r="288" spans="1:5" ht="15">
      <c r="A288" s="23" t="s">
        <v>316</v>
      </c>
      <c r="B288" s="24" t="s">
        <v>7</v>
      </c>
      <c r="C288" s="24" t="s">
        <v>172</v>
      </c>
      <c r="D288" s="7">
        <v>114706</v>
      </c>
      <c r="E288" s="24" t="s">
        <v>16</v>
      </c>
    </row>
    <row r="289" spans="1:5" ht="15">
      <c r="A289" s="23" t="s">
        <v>317</v>
      </c>
      <c r="B289" s="24" t="s">
        <v>11</v>
      </c>
      <c r="C289" s="24" t="s">
        <v>172</v>
      </c>
      <c r="D289" s="7">
        <v>260625</v>
      </c>
      <c r="E289" s="24" t="s">
        <v>16</v>
      </c>
    </row>
    <row r="290" spans="1:5" ht="15">
      <c r="A290" s="23" t="s">
        <v>318</v>
      </c>
      <c r="B290" s="24" t="s">
        <v>25</v>
      </c>
      <c r="C290" s="24" t="s">
        <v>172</v>
      </c>
      <c r="D290" s="7">
        <v>140167</v>
      </c>
      <c r="E290" s="24" t="s">
        <v>16</v>
      </c>
    </row>
    <row r="291" spans="1:5" ht="15">
      <c r="A291" s="23" t="s">
        <v>319</v>
      </c>
      <c r="B291" s="24" t="s">
        <v>7</v>
      </c>
      <c r="C291" s="24" t="s">
        <v>172</v>
      </c>
      <c r="D291" s="7">
        <v>256552</v>
      </c>
      <c r="E291" s="24" t="s">
        <v>9</v>
      </c>
    </row>
    <row r="292" spans="1:5" ht="15">
      <c r="A292" s="23" t="s">
        <v>320</v>
      </c>
      <c r="B292" s="24" t="s">
        <v>7</v>
      </c>
      <c r="C292" s="24" t="s">
        <v>172</v>
      </c>
      <c r="D292" s="7">
        <v>239821</v>
      </c>
      <c r="E292" s="24" t="s">
        <v>16</v>
      </c>
    </row>
    <row r="293" spans="1:5" ht="15">
      <c r="A293" s="23" t="s">
        <v>321</v>
      </c>
      <c r="B293" s="24" t="s">
        <v>237</v>
      </c>
      <c r="C293" s="24" t="s">
        <v>172</v>
      </c>
      <c r="D293" s="7">
        <v>274993</v>
      </c>
      <c r="E293" s="24" t="s">
        <v>12</v>
      </c>
    </row>
    <row r="294" spans="1:5" ht="15">
      <c r="A294" s="23" t="s">
        <v>322</v>
      </c>
      <c r="B294" s="24" t="s">
        <v>7</v>
      </c>
      <c r="C294" s="24" t="s">
        <v>172</v>
      </c>
      <c r="D294" s="7">
        <v>236629</v>
      </c>
      <c r="E294" s="24" t="s">
        <v>16</v>
      </c>
    </row>
    <row r="295" spans="1:5" ht="15">
      <c r="A295" s="23" t="s">
        <v>323</v>
      </c>
      <c r="B295" s="24" t="s">
        <v>7</v>
      </c>
      <c r="C295" s="24" t="s">
        <v>172</v>
      </c>
      <c r="D295" s="7">
        <v>208437</v>
      </c>
      <c r="E295" s="24" t="s">
        <v>9</v>
      </c>
    </row>
    <row r="296" spans="1:5" ht="15">
      <c r="A296" s="23" t="s">
        <v>324</v>
      </c>
      <c r="B296" s="24" t="s">
        <v>11</v>
      </c>
      <c r="C296" s="24" t="s">
        <v>172</v>
      </c>
      <c r="D296" s="7">
        <v>146105</v>
      </c>
      <c r="E296" s="24" t="s">
        <v>9</v>
      </c>
    </row>
    <row r="297" spans="1:5" ht="15">
      <c r="A297" s="23" t="s">
        <v>325</v>
      </c>
      <c r="B297" s="24" t="s">
        <v>7</v>
      </c>
      <c r="C297" s="24" t="s">
        <v>172</v>
      </c>
      <c r="D297" s="7">
        <v>85525</v>
      </c>
      <c r="E297" s="24" t="s">
        <v>9</v>
      </c>
    </row>
    <row r="298" spans="1:5" ht="15">
      <c r="A298" s="23" t="s">
        <v>326</v>
      </c>
      <c r="B298" s="24" t="s">
        <v>11</v>
      </c>
      <c r="C298" s="24" t="s">
        <v>172</v>
      </c>
      <c r="D298" s="7">
        <v>244601</v>
      </c>
      <c r="E298" s="24" t="s">
        <v>9</v>
      </c>
    </row>
    <row r="299" spans="1:5" ht="15">
      <c r="A299" s="23" t="s">
        <v>327</v>
      </c>
      <c r="B299" s="24" t="s">
        <v>7</v>
      </c>
      <c r="C299" s="24" t="s">
        <v>172</v>
      </c>
      <c r="D299" s="7">
        <v>173498</v>
      </c>
      <c r="E299" s="24" t="s">
        <v>9</v>
      </c>
    </row>
    <row r="300" spans="1:5" ht="15">
      <c r="A300" s="23" t="s">
        <v>328</v>
      </c>
      <c r="B300" s="24" t="s">
        <v>7</v>
      </c>
      <c r="C300" s="24" t="s">
        <v>172</v>
      </c>
      <c r="D300" s="7">
        <v>69249</v>
      </c>
      <c r="E300" s="24" t="s">
        <v>9</v>
      </c>
    </row>
    <row r="301" spans="1:5" ht="15">
      <c r="A301" s="23" t="s">
        <v>329</v>
      </c>
      <c r="B301" s="24" t="s">
        <v>11</v>
      </c>
      <c r="C301" s="24" t="s">
        <v>172</v>
      </c>
      <c r="D301" s="7">
        <v>246827</v>
      </c>
      <c r="E301" s="24" t="s">
        <v>9</v>
      </c>
    </row>
    <row r="302" spans="1:5" ht="15">
      <c r="A302" s="23" t="s">
        <v>330</v>
      </c>
      <c r="B302" s="24" t="s">
        <v>7</v>
      </c>
      <c r="C302" s="24" t="s">
        <v>172</v>
      </c>
      <c r="D302" s="7">
        <v>263087</v>
      </c>
      <c r="E302" s="24" t="s">
        <v>12</v>
      </c>
    </row>
    <row r="303" spans="1:5" ht="15">
      <c r="A303" s="23" t="s">
        <v>331</v>
      </c>
      <c r="B303" s="24" t="s">
        <v>237</v>
      </c>
      <c r="C303" s="24" t="s">
        <v>172</v>
      </c>
      <c r="D303" s="7">
        <v>23757</v>
      </c>
      <c r="E303" s="24" t="s">
        <v>12</v>
      </c>
    </row>
    <row r="304" spans="1:5" ht="15">
      <c r="A304" s="23" t="s">
        <v>332</v>
      </c>
      <c r="B304" s="24" t="s">
        <v>7</v>
      </c>
      <c r="C304" s="24" t="s">
        <v>172</v>
      </c>
      <c r="D304" s="7">
        <v>173794</v>
      </c>
      <c r="E304" s="24" t="s">
        <v>9</v>
      </c>
    </row>
    <row r="305" spans="1:5" ht="15">
      <c r="A305" s="23" t="s">
        <v>333</v>
      </c>
      <c r="B305" s="24" t="s">
        <v>11</v>
      </c>
      <c r="C305" s="24" t="s">
        <v>172</v>
      </c>
      <c r="D305" s="7">
        <v>130112</v>
      </c>
      <c r="E305" s="24" t="s">
        <v>12</v>
      </c>
    </row>
    <row r="306" spans="1:5" ht="15">
      <c r="A306" s="23" t="s">
        <v>334</v>
      </c>
      <c r="B306" s="24" t="s">
        <v>11</v>
      </c>
      <c r="C306" s="24" t="s">
        <v>172</v>
      </c>
      <c r="D306" s="7">
        <v>44633</v>
      </c>
      <c r="E306" s="24" t="s">
        <v>12</v>
      </c>
    </row>
    <row r="307" spans="1:5" ht="15">
      <c r="A307" s="23" t="s">
        <v>335</v>
      </c>
      <c r="B307" s="24" t="s">
        <v>7</v>
      </c>
      <c r="C307" s="24" t="s">
        <v>172</v>
      </c>
      <c r="D307" s="7">
        <v>112626</v>
      </c>
      <c r="E307" s="24" t="s">
        <v>12</v>
      </c>
    </row>
    <row r="308" spans="1:5" ht="15">
      <c r="A308" s="23" t="s">
        <v>336</v>
      </c>
      <c r="B308" s="24" t="s">
        <v>7</v>
      </c>
      <c r="C308" s="24" t="s">
        <v>172</v>
      </c>
      <c r="D308" s="7">
        <v>203699</v>
      </c>
      <c r="E308" s="24" t="s">
        <v>16</v>
      </c>
    </row>
    <row r="309" spans="1:5" ht="15">
      <c r="A309" s="23" t="s">
        <v>337</v>
      </c>
      <c r="B309" s="24" t="s">
        <v>7</v>
      </c>
      <c r="C309" s="24" t="s">
        <v>172</v>
      </c>
      <c r="D309" s="7">
        <v>278108</v>
      </c>
      <c r="E309" s="24" t="s">
        <v>12</v>
      </c>
    </row>
    <row r="310" spans="1:5" ht="15">
      <c r="A310" s="23" t="s">
        <v>338</v>
      </c>
      <c r="B310" s="24" t="s">
        <v>25</v>
      </c>
      <c r="C310" s="24" t="s">
        <v>172</v>
      </c>
      <c r="D310" s="7">
        <v>125798</v>
      </c>
      <c r="E310" s="24" t="s">
        <v>16</v>
      </c>
    </row>
    <row r="311" spans="1:5" ht="15">
      <c r="A311" s="23" t="s">
        <v>339</v>
      </c>
      <c r="B311" s="24" t="s">
        <v>11</v>
      </c>
      <c r="C311" s="24" t="s">
        <v>172</v>
      </c>
      <c r="D311" s="7">
        <v>164136</v>
      </c>
      <c r="E311" s="24" t="s">
        <v>12</v>
      </c>
    </row>
    <row r="312" spans="1:5" ht="15">
      <c r="A312" s="23" t="s">
        <v>340</v>
      </c>
      <c r="B312" s="24" t="s">
        <v>11</v>
      </c>
      <c r="C312" s="24" t="s">
        <v>172</v>
      </c>
      <c r="D312" s="7">
        <v>109223</v>
      </c>
      <c r="E312" s="24" t="s">
        <v>16</v>
      </c>
    </row>
    <row r="313" spans="1:5" ht="15">
      <c r="A313" s="23" t="s">
        <v>341</v>
      </c>
      <c r="B313" s="24" t="s">
        <v>11</v>
      </c>
      <c r="C313" s="24" t="s">
        <v>172</v>
      </c>
      <c r="D313" s="7">
        <v>209484</v>
      </c>
      <c r="E313" s="24" t="s">
        <v>12</v>
      </c>
    </row>
    <row r="314" spans="1:5" ht="15">
      <c r="A314" s="23" t="s">
        <v>342</v>
      </c>
      <c r="B314" s="24" t="s">
        <v>7</v>
      </c>
      <c r="C314" s="24" t="s">
        <v>172</v>
      </c>
      <c r="D314" s="7">
        <v>187427</v>
      </c>
      <c r="E314" s="24" t="s">
        <v>16</v>
      </c>
    </row>
    <row r="315" spans="1:5" ht="15">
      <c r="A315" s="23" t="s">
        <v>343</v>
      </c>
      <c r="B315" s="24" t="s">
        <v>11</v>
      </c>
      <c r="C315" s="24" t="s">
        <v>172</v>
      </c>
      <c r="D315" s="7">
        <v>94250</v>
      </c>
      <c r="E315" s="24" t="s">
        <v>9</v>
      </c>
    </row>
    <row r="316" spans="1:5" ht="15">
      <c r="A316" s="23" t="s">
        <v>344</v>
      </c>
      <c r="B316" s="24" t="s">
        <v>7</v>
      </c>
      <c r="C316" s="24" t="s">
        <v>172</v>
      </c>
      <c r="D316" s="7">
        <v>179150</v>
      </c>
      <c r="E316" s="24" t="s">
        <v>16</v>
      </c>
    </row>
    <row r="317" spans="1:5" ht="15">
      <c r="A317" s="23" t="s">
        <v>345</v>
      </c>
      <c r="B317" s="24" t="s">
        <v>11</v>
      </c>
      <c r="C317" s="24" t="s">
        <v>172</v>
      </c>
      <c r="D317" s="7">
        <v>90244</v>
      </c>
      <c r="E317" s="24" t="s">
        <v>9</v>
      </c>
    </row>
    <row r="318" spans="1:5" ht="15">
      <c r="A318" s="23" t="s">
        <v>346</v>
      </c>
      <c r="B318" s="24" t="s">
        <v>11</v>
      </c>
      <c r="C318" s="24" t="s">
        <v>172</v>
      </c>
      <c r="D318" s="7">
        <v>226866</v>
      </c>
      <c r="E318" s="24" t="s">
        <v>12</v>
      </c>
    </row>
    <row r="319" spans="1:5" ht="15">
      <c r="A319" s="23" t="s">
        <v>347</v>
      </c>
      <c r="B319" s="24" t="s">
        <v>7</v>
      </c>
      <c r="C319" s="24" t="s">
        <v>172</v>
      </c>
      <c r="D319" s="7">
        <v>29667</v>
      </c>
      <c r="E319" s="24" t="s">
        <v>12</v>
      </c>
    </row>
    <row r="320" spans="1:5" ht="15">
      <c r="A320" s="23" t="s">
        <v>348</v>
      </c>
      <c r="B320" s="24" t="s">
        <v>7</v>
      </c>
      <c r="C320" s="24" t="s">
        <v>172</v>
      </c>
      <c r="D320" s="7">
        <v>275292</v>
      </c>
      <c r="E320" s="24" t="s">
        <v>9</v>
      </c>
    </row>
    <row r="321" spans="1:5" ht="15">
      <c r="A321" s="23" t="s">
        <v>349</v>
      </c>
      <c r="B321" s="24" t="s">
        <v>7</v>
      </c>
      <c r="C321" s="24" t="s">
        <v>172</v>
      </c>
      <c r="D321" s="7">
        <v>65922</v>
      </c>
      <c r="E321" s="24" t="s">
        <v>9</v>
      </c>
    </row>
    <row r="322" spans="1:5" ht="15">
      <c r="A322" s="23" t="s">
        <v>350</v>
      </c>
      <c r="B322" s="24" t="s">
        <v>11</v>
      </c>
      <c r="C322" s="24" t="s">
        <v>172</v>
      </c>
      <c r="D322" s="7">
        <v>3034</v>
      </c>
      <c r="E322" s="24" t="s">
        <v>9</v>
      </c>
    </row>
    <row r="323" spans="1:5" ht="15">
      <c r="A323" s="23" t="s">
        <v>351</v>
      </c>
      <c r="B323" s="24" t="s">
        <v>7</v>
      </c>
      <c r="C323" s="24" t="s">
        <v>172</v>
      </c>
      <c r="D323" s="7">
        <v>114410</v>
      </c>
      <c r="E323" s="24" t="s">
        <v>16</v>
      </c>
    </row>
    <row r="324" spans="1:5" ht="15">
      <c r="A324" s="23" t="s">
        <v>352</v>
      </c>
      <c r="B324" s="24" t="s">
        <v>7</v>
      </c>
      <c r="C324" s="24" t="s">
        <v>172</v>
      </c>
      <c r="D324" s="7">
        <v>230936</v>
      </c>
      <c r="E324" s="24" t="s">
        <v>12</v>
      </c>
    </row>
    <row r="325" spans="1:5" ht="15">
      <c r="A325" s="23" t="s">
        <v>353</v>
      </c>
      <c r="B325" s="24" t="s">
        <v>7</v>
      </c>
      <c r="C325" s="24" t="s">
        <v>172</v>
      </c>
      <c r="D325" s="7">
        <v>96810</v>
      </c>
      <c r="E325" s="24" t="s">
        <v>16</v>
      </c>
    </row>
    <row r="326" spans="1:5" ht="15">
      <c r="A326" s="23" t="s">
        <v>354</v>
      </c>
      <c r="B326" s="24" t="s">
        <v>11</v>
      </c>
      <c r="C326" s="24" t="s">
        <v>172</v>
      </c>
      <c r="D326" s="7">
        <v>140986</v>
      </c>
      <c r="E326" s="24" t="s">
        <v>16</v>
      </c>
    </row>
    <row r="327" spans="1:5" ht="15">
      <c r="A327" s="23" t="s">
        <v>355</v>
      </c>
      <c r="B327" s="24" t="s">
        <v>7</v>
      </c>
      <c r="C327" s="24" t="s">
        <v>172</v>
      </c>
      <c r="D327" s="7">
        <v>241291</v>
      </c>
      <c r="E327" s="24" t="s">
        <v>12</v>
      </c>
    </row>
    <row r="328" spans="1:5" ht="15">
      <c r="A328" s="23" t="s">
        <v>356</v>
      </c>
      <c r="B328" s="24" t="s">
        <v>7</v>
      </c>
      <c r="C328" s="24" t="s">
        <v>172</v>
      </c>
      <c r="D328" s="7">
        <v>136513</v>
      </c>
      <c r="E328" s="24" t="s">
        <v>9</v>
      </c>
    </row>
    <row r="329" spans="1:5" ht="15">
      <c r="A329" s="23" t="s">
        <v>357</v>
      </c>
      <c r="B329" s="24" t="s">
        <v>7</v>
      </c>
      <c r="C329" s="24" t="s">
        <v>172</v>
      </c>
      <c r="D329" s="7">
        <v>158628</v>
      </c>
      <c r="E329" s="24" t="s">
        <v>16</v>
      </c>
    </row>
    <row r="330" spans="1:5" ht="15">
      <c r="A330" s="23" t="s">
        <v>358</v>
      </c>
      <c r="B330" s="24" t="s">
        <v>7</v>
      </c>
      <c r="C330" s="24" t="s">
        <v>172</v>
      </c>
      <c r="D330" s="7">
        <v>55125</v>
      </c>
      <c r="E330" s="24" t="s">
        <v>16</v>
      </c>
    </row>
    <row r="331" spans="1:5" ht="15">
      <c r="A331" s="23" t="s">
        <v>359</v>
      </c>
      <c r="B331" s="24" t="s">
        <v>7</v>
      </c>
      <c r="C331" s="24" t="s">
        <v>172</v>
      </c>
      <c r="D331" s="7">
        <v>113987</v>
      </c>
      <c r="E331" s="24" t="s">
        <v>16</v>
      </c>
    </row>
    <row r="332" spans="1:5" ht="15">
      <c r="A332" s="23" t="s">
        <v>360</v>
      </c>
      <c r="B332" s="24" t="s">
        <v>7</v>
      </c>
      <c r="C332" s="24" t="s">
        <v>172</v>
      </c>
      <c r="D332" s="7">
        <v>294292</v>
      </c>
      <c r="E332" s="24" t="s">
        <v>9</v>
      </c>
    </row>
    <row r="333" spans="1:5" ht="15">
      <c r="A333" s="23" t="s">
        <v>361</v>
      </c>
      <c r="B333" s="24" t="s">
        <v>7</v>
      </c>
      <c r="C333" s="24" t="s">
        <v>172</v>
      </c>
      <c r="D333" s="7">
        <v>63159</v>
      </c>
      <c r="E333" s="24" t="s">
        <v>12</v>
      </c>
    </row>
    <row r="334" spans="1:5" ht="15">
      <c r="A334" s="23" t="s">
        <v>362</v>
      </c>
      <c r="B334" s="24" t="s">
        <v>11</v>
      </c>
      <c r="C334" s="24" t="s">
        <v>172</v>
      </c>
      <c r="D334" s="7">
        <v>69702</v>
      </c>
      <c r="E334" s="24" t="s">
        <v>9</v>
      </c>
    </row>
    <row r="335" spans="1:5" ht="15">
      <c r="A335" s="23" t="s">
        <v>363</v>
      </c>
      <c r="B335" s="24" t="s">
        <v>7</v>
      </c>
      <c r="C335" s="24" t="s">
        <v>172</v>
      </c>
      <c r="D335" s="7">
        <v>135979</v>
      </c>
      <c r="E335" s="24" t="s">
        <v>9</v>
      </c>
    </row>
    <row r="336" spans="1:5" ht="15">
      <c r="A336" s="23" t="s">
        <v>364</v>
      </c>
      <c r="B336" s="24" t="s">
        <v>7</v>
      </c>
      <c r="C336" s="24" t="s">
        <v>172</v>
      </c>
      <c r="D336" s="7">
        <v>79223</v>
      </c>
      <c r="E336" s="24" t="s">
        <v>12</v>
      </c>
    </row>
    <row r="337" spans="1:5" ht="15">
      <c r="A337" s="23" t="s">
        <v>365</v>
      </c>
      <c r="B337" s="24" t="s">
        <v>11</v>
      </c>
      <c r="C337" s="24" t="s">
        <v>172</v>
      </c>
      <c r="D337" s="7">
        <v>217324</v>
      </c>
      <c r="E337" s="24" t="s">
        <v>12</v>
      </c>
    </row>
    <row r="338" spans="1:5" ht="15">
      <c r="A338" s="23" t="s">
        <v>366</v>
      </c>
      <c r="B338" s="24" t="s">
        <v>7</v>
      </c>
      <c r="C338" s="24" t="s">
        <v>172</v>
      </c>
      <c r="D338" s="7">
        <v>81489</v>
      </c>
      <c r="E338" s="24" t="s">
        <v>16</v>
      </c>
    </row>
    <row r="339" spans="1:5" ht="15">
      <c r="A339" s="23" t="s">
        <v>367</v>
      </c>
      <c r="B339" s="24" t="s">
        <v>7</v>
      </c>
      <c r="C339" s="24" t="s">
        <v>172</v>
      </c>
      <c r="D339" s="7">
        <v>235029</v>
      </c>
      <c r="E339" s="24" t="s">
        <v>16</v>
      </c>
    </row>
    <row r="340" spans="1:5" ht="15">
      <c r="A340" s="23" t="s">
        <v>368</v>
      </c>
      <c r="B340" s="24" t="s">
        <v>11</v>
      </c>
      <c r="C340" s="24" t="s">
        <v>172</v>
      </c>
      <c r="D340" s="7">
        <v>295374</v>
      </c>
      <c r="E340" s="24" t="s">
        <v>12</v>
      </c>
    </row>
    <row r="341" spans="1:5" ht="15">
      <c r="A341" s="23" t="s">
        <v>369</v>
      </c>
      <c r="B341" s="24" t="s">
        <v>237</v>
      </c>
      <c r="C341" s="24" t="s">
        <v>172</v>
      </c>
      <c r="D341" s="7">
        <v>75007</v>
      </c>
      <c r="E341" s="24" t="s">
        <v>12</v>
      </c>
    </row>
    <row r="342" spans="1:5" ht="15">
      <c r="A342" s="23" t="s">
        <v>370</v>
      </c>
      <c r="B342" s="24" t="s">
        <v>237</v>
      </c>
      <c r="C342" s="24" t="s">
        <v>172</v>
      </c>
      <c r="D342" s="7">
        <v>22755</v>
      </c>
      <c r="E342" s="24" t="s">
        <v>16</v>
      </c>
    </row>
    <row r="343" spans="1:5" ht="15">
      <c r="A343" s="23" t="s">
        <v>371</v>
      </c>
      <c r="B343" s="24" t="s">
        <v>11</v>
      </c>
      <c r="C343" s="24" t="s">
        <v>172</v>
      </c>
      <c r="D343" s="7">
        <v>66123</v>
      </c>
      <c r="E343" s="24" t="s">
        <v>9</v>
      </c>
    </row>
    <row r="344" spans="1:5" ht="15">
      <c r="A344" s="23" t="s">
        <v>372</v>
      </c>
      <c r="B344" s="24" t="s">
        <v>7</v>
      </c>
      <c r="C344" s="24" t="s">
        <v>172</v>
      </c>
      <c r="D344" s="7">
        <v>266437</v>
      </c>
      <c r="E344" s="24" t="s">
        <v>16</v>
      </c>
    </row>
    <row r="345" spans="1:5" ht="15">
      <c r="A345" s="23" t="s">
        <v>373</v>
      </c>
      <c r="B345" s="24" t="s">
        <v>7</v>
      </c>
      <c r="C345" s="24" t="s">
        <v>172</v>
      </c>
      <c r="D345" s="7">
        <v>243692</v>
      </c>
      <c r="E345" s="24" t="s">
        <v>9</v>
      </c>
    </row>
    <row r="346" spans="1:5" ht="15">
      <c r="A346" s="23" t="s">
        <v>374</v>
      </c>
      <c r="B346" s="24" t="s">
        <v>25</v>
      </c>
      <c r="C346" s="24" t="s">
        <v>172</v>
      </c>
      <c r="D346" s="7">
        <v>242695</v>
      </c>
      <c r="E346" s="24" t="s">
        <v>16</v>
      </c>
    </row>
    <row r="347" spans="1:5" ht="15">
      <c r="A347" s="23" t="s">
        <v>375</v>
      </c>
      <c r="B347" s="24" t="s">
        <v>7</v>
      </c>
      <c r="C347" s="24" t="s">
        <v>172</v>
      </c>
      <c r="D347" s="7">
        <v>291999</v>
      </c>
      <c r="E347" s="24" t="s">
        <v>9</v>
      </c>
    </row>
    <row r="348" spans="1:5" ht="15">
      <c r="A348" s="23" t="s">
        <v>376</v>
      </c>
      <c r="B348" s="24" t="s">
        <v>7</v>
      </c>
      <c r="C348" s="24" t="s">
        <v>172</v>
      </c>
      <c r="D348" s="7">
        <v>144861</v>
      </c>
      <c r="E348" s="24" t="s">
        <v>9</v>
      </c>
    </row>
    <row r="349" spans="1:5" ht="15">
      <c r="A349" s="23" t="s">
        <v>377</v>
      </c>
      <c r="B349" s="24" t="s">
        <v>7</v>
      </c>
      <c r="C349" s="24" t="s">
        <v>172</v>
      </c>
      <c r="D349" s="7">
        <v>287483</v>
      </c>
      <c r="E349" s="24" t="s">
        <v>12</v>
      </c>
    </row>
    <row r="350" spans="1:5" ht="15">
      <c r="A350" s="23" t="s">
        <v>378</v>
      </c>
      <c r="B350" s="24" t="s">
        <v>11</v>
      </c>
      <c r="C350" s="24" t="s">
        <v>172</v>
      </c>
      <c r="D350" s="7">
        <v>32391</v>
      </c>
      <c r="E350" s="24" t="s">
        <v>9</v>
      </c>
    </row>
    <row r="351" spans="1:5" ht="15">
      <c r="A351" s="23" t="s">
        <v>379</v>
      </c>
      <c r="B351" s="24" t="s">
        <v>11</v>
      </c>
      <c r="C351" s="24" t="s">
        <v>172</v>
      </c>
      <c r="D351" s="7">
        <v>118339</v>
      </c>
      <c r="E351" s="24" t="s">
        <v>9</v>
      </c>
    </row>
    <row r="352" spans="1:5" ht="15">
      <c r="A352" s="23" t="s">
        <v>380</v>
      </c>
      <c r="B352" s="24" t="s">
        <v>11</v>
      </c>
      <c r="C352" s="24" t="s">
        <v>172</v>
      </c>
      <c r="D352" s="7">
        <v>266976</v>
      </c>
      <c r="E352" s="24" t="s">
        <v>12</v>
      </c>
    </row>
    <row r="353" spans="1:5" ht="15">
      <c r="A353" s="23" t="s">
        <v>381</v>
      </c>
      <c r="B353" s="24" t="s">
        <v>7</v>
      </c>
      <c r="C353" s="24" t="s">
        <v>172</v>
      </c>
      <c r="D353" s="7">
        <v>19654</v>
      </c>
      <c r="E353" s="24" t="s">
        <v>12</v>
      </c>
    </row>
    <row r="354" spans="1:5" ht="15">
      <c r="A354" s="23" t="s">
        <v>382</v>
      </c>
      <c r="B354" s="24" t="s">
        <v>7</v>
      </c>
      <c r="C354" s="24" t="s">
        <v>172</v>
      </c>
      <c r="D354" s="7">
        <v>172255</v>
      </c>
      <c r="E354" s="24" t="s">
        <v>12</v>
      </c>
    </row>
    <row r="355" spans="1:5" ht="15">
      <c r="A355" s="23" t="s">
        <v>383</v>
      </c>
      <c r="B355" s="24" t="s">
        <v>11</v>
      </c>
      <c r="C355" s="24" t="s">
        <v>172</v>
      </c>
      <c r="D355" s="7">
        <v>160703</v>
      </c>
      <c r="E355" s="24" t="s">
        <v>16</v>
      </c>
    </row>
    <row r="356" spans="1:5" ht="15">
      <c r="A356" s="23" t="s">
        <v>384</v>
      </c>
      <c r="B356" s="24" t="s">
        <v>11</v>
      </c>
      <c r="C356" s="24" t="s">
        <v>172</v>
      </c>
      <c r="D356" s="7">
        <v>21250</v>
      </c>
      <c r="E356" s="24" t="s">
        <v>12</v>
      </c>
    </row>
    <row r="357" spans="1:5" ht="15">
      <c r="A357" s="23" t="s">
        <v>385</v>
      </c>
      <c r="B357" s="24" t="s">
        <v>7</v>
      </c>
      <c r="C357" s="24" t="s">
        <v>172</v>
      </c>
      <c r="D357" s="7">
        <v>201118</v>
      </c>
      <c r="E357" s="24" t="s">
        <v>12</v>
      </c>
    </row>
    <row r="358" spans="1:5" ht="15">
      <c r="A358" s="23" t="s">
        <v>386</v>
      </c>
      <c r="B358" s="24" t="s">
        <v>7</v>
      </c>
      <c r="C358" s="24" t="s">
        <v>172</v>
      </c>
      <c r="D358" s="7">
        <v>281472</v>
      </c>
      <c r="E358" s="24" t="s">
        <v>16</v>
      </c>
    </row>
    <row r="359" spans="1:5" ht="15">
      <c r="A359" s="23" t="s">
        <v>387</v>
      </c>
      <c r="B359" s="24" t="s">
        <v>7</v>
      </c>
      <c r="C359" s="24" t="s">
        <v>172</v>
      </c>
      <c r="D359" s="7">
        <v>141944</v>
      </c>
      <c r="E359" s="24" t="s">
        <v>16</v>
      </c>
    </row>
    <row r="360" spans="1:5" ht="15">
      <c r="A360" s="23" t="s">
        <v>388</v>
      </c>
      <c r="B360" s="24" t="s">
        <v>11</v>
      </c>
      <c r="C360" s="24" t="s">
        <v>172</v>
      </c>
      <c r="D360" s="7">
        <v>233453</v>
      </c>
      <c r="E360" s="24" t="s">
        <v>16</v>
      </c>
    </row>
    <row r="361" spans="1:5" ht="15">
      <c r="A361" s="23" t="s">
        <v>389</v>
      </c>
      <c r="B361" s="24" t="s">
        <v>11</v>
      </c>
      <c r="C361" s="24" t="s">
        <v>172</v>
      </c>
      <c r="D361" s="7">
        <v>156458</v>
      </c>
      <c r="E361" s="24" t="s">
        <v>12</v>
      </c>
    </row>
    <row r="362" spans="1:5" ht="15">
      <c r="A362" s="23" t="s">
        <v>390</v>
      </c>
      <c r="B362" s="24" t="s">
        <v>7</v>
      </c>
      <c r="C362" s="24" t="s">
        <v>172</v>
      </c>
      <c r="D362" s="7">
        <v>296659</v>
      </c>
      <c r="E362" s="24" t="s">
        <v>9</v>
      </c>
    </row>
    <row r="363" spans="1:5" ht="15">
      <c r="A363" s="23" t="s">
        <v>391</v>
      </c>
      <c r="B363" s="24" t="s">
        <v>237</v>
      </c>
      <c r="C363" s="24" t="s">
        <v>172</v>
      </c>
      <c r="D363" s="7">
        <v>162619</v>
      </c>
      <c r="E363" s="24" t="s">
        <v>12</v>
      </c>
    </row>
    <row r="364" spans="1:5" ht="15">
      <c r="A364" s="23" t="s">
        <v>392</v>
      </c>
      <c r="B364" s="24" t="s">
        <v>7</v>
      </c>
      <c r="C364" s="24" t="s">
        <v>172</v>
      </c>
      <c r="D364" s="7">
        <v>105944</v>
      </c>
      <c r="E364" s="24" t="s">
        <v>9</v>
      </c>
    </row>
    <row r="365" spans="1:5" ht="15">
      <c r="A365" s="23" t="s">
        <v>393</v>
      </c>
      <c r="B365" s="24" t="s">
        <v>7</v>
      </c>
      <c r="C365" s="24" t="s">
        <v>172</v>
      </c>
      <c r="D365" s="7">
        <v>86283</v>
      </c>
      <c r="E365" s="24" t="s">
        <v>12</v>
      </c>
    </row>
    <row r="366" spans="1:5" ht="15">
      <c r="A366" s="23" t="s">
        <v>394</v>
      </c>
      <c r="B366" s="24" t="s">
        <v>11</v>
      </c>
      <c r="C366" s="24" t="s">
        <v>172</v>
      </c>
      <c r="D366" s="7">
        <v>101265</v>
      </c>
      <c r="E366" s="24" t="s">
        <v>16</v>
      </c>
    </row>
    <row r="367" spans="1:5" ht="15">
      <c r="A367" s="23" t="s">
        <v>395</v>
      </c>
      <c r="B367" s="24" t="s">
        <v>237</v>
      </c>
      <c r="C367" s="24" t="s">
        <v>172</v>
      </c>
      <c r="D367" s="7">
        <v>52322</v>
      </c>
      <c r="E367" s="24" t="s">
        <v>12</v>
      </c>
    </row>
    <row r="368" spans="1:5" ht="15">
      <c r="A368" s="23" t="s">
        <v>396</v>
      </c>
      <c r="B368" s="24" t="s">
        <v>7</v>
      </c>
      <c r="C368" s="24" t="s">
        <v>172</v>
      </c>
      <c r="D368" s="7">
        <v>278750</v>
      </c>
      <c r="E368" s="24" t="s">
        <v>9</v>
      </c>
    </row>
    <row r="369" spans="1:5" ht="15">
      <c r="A369" s="23" t="s">
        <v>397</v>
      </c>
      <c r="B369" s="24" t="s">
        <v>7</v>
      </c>
      <c r="C369" s="24" t="s">
        <v>172</v>
      </c>
      <c r="D369" s="7">
        <v>293564</v>
      </c>
      <c r="E369" s="24" t="s">
        <v>9</v>
      </c>
    </row>
    <row r="370" spans="1:5" ht="15">
      <c r="A370" s="23" t="s">
        <v>398</v>
      </c>
      <c r="B370" s="24" t="s">
        <v>7</v>
      </c>
      <c r="C370" s="24" t="s">
        <v>172</v>
      </c>
      <c r="D370" s="7">
        <v>68629</v>
      </c>
      <c r="E370" s="24" t="s">
        <v>9</v>
      </c>
    </row>
    <row r="371" spans="1:5" ht="15">
      <c r="A371" s="23" t="s">
        <v>399</v>
      </c>
      <c r="B371" s="24" t="s">
        <v>7</v>
      </c>
      <c r="C371" s="24" t="s">
        <v>172</v>
      </c>
      <c r="D371" s="7">
        <v>297363</v>
      </c>
      <c r="E371" s="24" t="s">
        <v>16</v>
      </c>
    </row>
    <row r="372" spans="1:5" ht="15">
      <c r="A372" s="23" t="s">
        <v>400</v>
      </c>
      <c r="B372" s="24" t="s">
        <v>7</v>
      </c>
      <c r="C372" s="24" t="s">
        <v>172</v>
      </c>
      <c r="D372" s="7">
        <v>207262</v>
      </c>
      <c r="E372" s="24" t="s">
        <v>9</v>
      </c>
    </row>
    <row r="373" spans="1:5" ht="15">
      <c r="A373" s="23" t="s">
        <v>401</v>
      </c>
      <c r="B373" s="24" t="s">
        <v>7</v>
      </c>
      <c r="C373" s="24" t="s">
        <v>172</v>
      </c>
      <c r="D373" s="7">
        <v>52523</v>
      </c>
      <c r="E373" s="24" t="s">
        <v>9</v>
      </c>
    </row>
    <row r="374" spans="1:5" ht="15">
      <c r="A374" s="23" t="s">
        <v>402</v>
      </c>
      <c r="B374" s="24" t="s">
        <v>11</v>
      </c>
      <c r="C374" s="24" t="s">
        <v>172</v>
      </c>
      <c r="D374" s="7">
        <v>269762</v>
      </c>
      <c r="E374" s="24" t="s">
        <v>16</v>
      </c>
    </row>
    <row r="375" spans="1:5" ht="15">
      <c r="A375" s="23" t="s">
        <v>403</v>
      </c>
      <c r="B375" s="24" t="s">
        <v>7</v>
      </c>
      <c r="C375" s="24" t="s">
        <v>172</v>
      </c>
      <c r="D375" s="7">
        <v>49422</v>
      </c>
      <c r="E375" s="24" t="s">
        <v>16</v>
      </c>
    </row>
    <row r="376" spans="1:5" ht="15">
      <c r="A376" s="23" t="s">
        <v>404</v>
      </c>
      <c r="B376" s="24" t="s">
        <v>11</v>
      </c>
      <c r="C376" s="24" t="s">
        <v>172</v>
      </c>
      <c r="D376" s="7">
        <v>175579</v>
      </c>
      <c r="E376" s="24" t="s">
        <v>9</v>
      </c>
    </row>
    <row r="377" spans="1:5" ht="15">
      <c r="A377" s="23" t="s">
        <v>405</v>
      </c>
      <c r="B377" s="24" t="s">
        <v>7</v>
      </c>
      <c r="C377" s="24" t="s">
        <v>172</v>
      </c>
      <c r="D377" s="7">
        <v>31310</v>
      </c>
      <c r="E377" s="24" t="s">
        <v>12</v>
      </c>
    </row>
    <row r="378" spans="1:5" ht="15">
      <c r="A378" s="23" t="s">
        <v>406</v>
      </c>
      <c r="B378" s="24" t="s">
        <v>7</v>
      </c>
      <c r="C378" s="24" t="s">
        <v>172</v>
      </c>
      <c r="D378" s="7">
        <v>131966</v>
      </c>
      <c r="E378" s="24" t="s">
        <v>12</v>
      </c>
    </row>
    <row r="379" spans="1:5" ht="15">
      <c r="A379" s="23" t="s">
        <v>407</v>
      </c>
      <c r="B379" s="24" t="s">
        <v>11</v>
      </c>
      <c r="C379" s="24" t="s">
        <v>172</v>
      </c>
      <c r="D379" s="7">
        <v>251024</v>
      </c>
      <c r="E379" s="24" t="s">
        <v>12</v>
      </c>
    </row>
    <row r="380" spans="1:5" ht="15">
      <c r="A380" s="23" t="s">
        <v>408</v>
      </c>
      <c r="B380" s="24" t="s">
        <v>7</v>
      </c>
      <c r="C380" s="24" t="s">
        <v>172</v>
      </c>
      <c r="D380" s="7">
        <v>85457</v>
      </c>
      <c r="E380" s="24" t="s">
        <v>16</v>
      </c>
    </row>
    <row r="381" spans="1:5" ht="15">
      <c r="A381" s="23" t="s">
        <v>409</v>
      </c>
      <c r="B381" s="24" t="s">
        <v>11</v>
      </c>
      <c r="C381" s="24" t="s">
        <v>172</v>
      </c>
      <c r="D381" s="7">
        <v>134304</v>
      </c>
      <c r="E381" s="24" t="s">
        <v>12</v>
      </c>
    </row>
    <row r="382" spans="1:5" ht="15">
      <c r="A382" s="23" t="s">
        <v>410</v>
      </c>
      <c r="B382" s="24" t="s">
        <v>7</v>
      </c>
      <c r="C382" s="24" t="s">
        <v>172</v>
      </c>
      <c r="D382" s="7">
        <v>216387</v>
      </c>
      <c r="E382" s="24" t="s">
        <v>9</v>
      </c>
    </row>
    <row r="383" spans="1:5" ht="15">
      <c r="A383" s="23" t="s">
        <v>411</v>
      </c>
      <c r="B383" s="24" t="s">
        <v>7</v>
      </c>
      <c r="C383" s="24" t="s">
        <v>172</v>
      </c>
      <c r="D383" s="7">
        <v>166626</v>
      </c>
      <c r="E383" s="24" t="s">
        <v>12</v>
      </c>
    </row>
    <row r="384" spans="1:5" ht="15">
      <c r="A384" s="23" t="s">
        <v>412</v>
      </c>
      <c r="B384" s="24" t="s">
        <v>7</v>
      </c>
      <c r="C384" s="24" t="s">
        <v>172</v>
      </c>
      <c r="D384" s="7">
        <v>78742</v>
      </c>
      <c r="E384" s="24" t="s">
        <v>16</v>
      </c>
    </row>
    <row r="385" spans="1:5" ht="15">
      <c r="A385" s="23" t="s">
        <v>413</v>
      </c>
      <c r="B385" s="24" t="s">
        <v>7</v>
      </c>
      <c r="C385" s="24" t="s">
        <v>172</v>
      </c>
      <c r="D385" s="7">
        <v>156359</v>
      </c>
      <c r="E385" s="24" t="s">
        <v>9</v>
      </c>
    </row>
    <row r="386" spans="1:5" ht="15">
      <c r="A386" s="23" t="s">
        <v>414</v>
      </c>
      <c r="B386" s="24" t="s">
        <v>237</v>
      </c>
      <c r="C386" s="24" t="s">
        <v>172</v>
      </c>
      <c r="D386" s="7">
        <v>211334</v>
      </c>
      <c r="E386" s="24" t="s">
        <v>9</v>
      </c>
    </row>
    <row r="387" spans="1:5" ht="15">
      <c r="A387" s="23" t="s">
        <v>415</v>
      </c>
      <c r="B387" s="24" t="s">
        <v>11</v>
      </c>
      <c r="C387" s="24" t="s">
        <v>172</v>
      </c>
      <c r="D387" s="7">
        <v>83118</v>
      </c>
      <c r="E387" s="24" t="s">
        <v>16</v>
      </c>
    </row>
    <row r="388" spans="1:5" ht="15">
      <c r="A388" s="23" t="s">
        <v>416</v>
      </c>
      <c r="B388" s="24" t="s">
        <v>7</v>
      </c>
      <c r="C388" s="24" t="s">
        <v>172</v>
      </c>
      <c r="D388" s="7">
        <v>165872</v>
      </c>
      <c r="E388" s="24" t="s">
        <v>9</v>
      </c>
    </row>
    <row r="389" spans="1:5" ht="15">
      <c r="A389" s="23" t="s">
        <v>417</v>
      </c>
      <c r="B389" s="24" t="s">
        <v>237</v>
      </c>
      <c r="C389" s="24" t="s">
        <v>172</v>
      </c>
      <c r="D389" s="7">
        <v>39637</v>
      </c>
      <c r="E389" s="24" t="s">
        <v>16</v>
      </c>
    </row>
    <row r="390" spans="1:5" ht="15">
      <c r="A390" s="23" t="s">
        <v>418</v>
      </c>
      <c r="B390" s="24" t="s">
        <v>237</v>
      </c>
      <c r="C390" s="24" t="s">
        <v>172</v>
      </c>
      <c r="D390" s="7">
        <v>113955</v>
      </c>
      <c r="E390" s="24" t="s">
        <v>12</v>
      </c>
    </row>
    <row r="391" spans="1:5" ht="15">
      <c r="A391" s="23" t="s">
        <v>419</v>
      </c>
      <c r="B391" s="24" t="s">
        <v>7</v>
      </c>
      <c r="C391" s="24" t="s">
        <v>172</v>
      </c>
      <c r="D391" s="7">
        <v>140206</v>
      </c>
      <c r="E391" s="24" t="s">
        <v>12</v>
      </c>
    </row>
    <row r="392" spans="1:5" ht="15">
      <c r="A392" s="23" t="s">
        <v>420</v>
      </c>
      <c r="B392" s="24" t="s">
        <v>11</v>
      </c>
      <c r="C392" s="24" t="s">
        <v>172</v>
      </c>
      <c r="D392" s="7">
        <v>44699</v>
      </c>
      <c r="E392" s="24" t="s">
        <v>9</v>
      </c>
    </row>
    <row r="393" spans="1:5" ht="15">
      <c r="A393" s="23" t="s">
        <v>421</v>
      </c>
      <c r="B393" s="24" t="s">
        <v>7</v>
      </c>
      <c r="C393" s="24" t="s">
        <v>172</v>
      </c>
      <c r="D393" s="7">
        <v>293879</v>
      </c>
      <c r="E393" s="24" t="s">
        <v>9</v>
      </c>
    </row>
    <row r="394" spans="1:5" ht="15">
      <c r="A394" s="23" t="s">
        <v>422</v>
      </c>
      <c r="B394" s="24" t="s">
        <v>11</v>
      </c>
      <c r="C394" s="24" t="s">
        <v>172</v>
      </c>
      <c r="D394" s="7">
        <v>195358</v>
      </c>
      <c r="E394" s="24" t="s">
        <v>9</v>
      </c>
    </row>
    <row r="395" spans="1:5" ht="15">
      <c r="A395" s="23" t="s">
        <v>423</v>
      </c>
      <c r="B395" s="24" t="s">
        <v>11</v>
      </c>
      <c r="C395" s="24" t="s">
        <v>172</v>
      </c>
      <c r="D395" s="7">
        <v>69875</v>
      </c>
      <c r="E395" s="24" t="s">
        <v>16</v>
      </c>
    </row>
    <row r="396" spans="1:5" ht="15">
      <c r="A396" s="23" t="s">
        <v>424</v>
      </c>
      <c r="B396" s="24" t="s">
        <v>7</v>
      </c>
      <c r="C396" s="24" t="s">
        <v>172</v>
      </c>
      <c r="D396" s="7">
        <v>2323</v>
      </c>
      <c r="E396" s="24" t="s">
        <v>16</v>
      </c>
    </row>
    <row r="397" spans="1:5" ht="15">
      <c r="A397" s="23" t="s">
        <v>425</v>
      </c>
      <c r="B397" s="24" t="s">
        <v>7</v>
      </c>
      <c r="C397" s="24" t="s">
        <v>172</v>
      </c>
      <c r="D397" s="7">
        <v>283078</v>
      </c>
      <c r="E397" s="24" t="s">
        <v>12</v>
      </c>
    </row>
    <row r="398" spans="1:5" ht="15">
      <c r="A398" s="23" t="s">
        <v>426</v>
      </c>
      <c r="B398" s="24" t="s">
        <v>7</v>
      </c>
      <c r="C398" s="24" t="s">
        <v>172</v>
      </c>
      <c r="D398" s="7">
        <v>213741</v>
      </c>
      <c r="E398" s="24" t="s">
        <v>12</v>
      </c>
    </row>
    <row r="399" spans="1:5" ht="15">
      <c r="A399" s="23" t="s">
        <v>427</v>
      </c>
      <c r="B399" s="24" t="s">
        <v>7</v>
      </c>
      <c r="C399" s="24" t="s">
        <v>172</v>
      </c>
      <c r="D399" s="7">
        <v>64627</v>
      </c>
      <c r="E399" s="24" t="s">
        <v>16</v>
      </c>
    </row>
    <row r="400" spans="1:5" ht="15">
      <c r="A400" s="23" t="s">
        <v>428</v>
      </c>
      <c r="B400" s="24" t="s">
        <v>7</v>
      </c>
      <c r="C400" s="24" t="s">
        <v>172</v>
      </c>
      <c r="D400" s="7">
        <v>98058</v>
      </c>
      <c r="E400" s="24" t="s">
        <v>16</v>
      </c>
    </row>
    <row r="401" spans="1:5" ht="15">
      <c r="A401" s="23" t="s">
        <v>429</v>
      </c>
      <c r="B401" s="24" t="s">
        <v>7</v>
      </c>
      <c r="C401" s="24" t="s">
        <v>172</v>
      </c>
      <c r="D401" s="7">
        <v>295469</v>
      </c>
      <c r="E401" s="24" t="s">
        <v>16</v>
      </c>
    </row>
    <row r="402" spans="1:5" ht="15">
      <c r="A402" s="23" t="s">
        <v>430</v>
      </c>
      <c r="B402" s="24" t="s">
        <v>237</v>
      </c>
      <c r="C402" s="24" t="s">
        <v>172</v>
      </c>
      <c r="D402" s="7">
        <v>256380</v>
      </c>
      <c r="E402" s="24" t="s">
        <v>16</v>
      </c>
    </row>
    <row r="403" spans="1:5" ht="15">
      <c r="A403" s="23" t="s">
        <v>431</v>
      </c>
      <c r="B403" s="24" t="s">
        <v>7</v>
      </c>
      <c r="C403" s="24" t="s">
        <v>172</v>
      </c>
      <c r="D403" s="7">
        <v>56596</v>
      </c>
      <c r="E403" s="24" t="s">
        <v>9</v>
      </c>
    </row>
    <row r="404" spans="1:5" ht="15">
      <c r="A404" s="23" t="s">
        <v>432</v>
      </c>
      <c r="B404" s="24" t="s">
        <v>7</v>
      </c>
      <c r="C404" s="24" t="s">
        <v>172</v>
      </c>
      <c r="D404" s="7">
        <v>27844</v>
      </c>
      <c r="E404" s="24" t="s">
        <v>12</v>
      </c>
    </row>
    <row r="405" spans="1:5" ht="15">
      <c r="A405" s="23" t="s">
        <v>433</v>
      </c>
      <c r="B405" s="24" t="s">
        <v>7</v>
      </c>
      <c r="C405" s="24" t="s">
        <v>172</v>
      </c>
      <c r="D405" s="7">
        <v>199575</v>
      </c>
      <c r="E405" s="24" t="s">
        <v>9</v>
      </c>
    </row>
    <row r="406" spans="1:5" ht="15">
      <c r="A406" s="23" t="s">
        <v>434</v>
      </c>
      <c r="B406" s="24" t="s">
        <v>11</v>
      </c>
      <c r="C406" s="24" t="s">
        <v>172</v>
      </c>
      <c r="D406" s="7">
        <v>54514</v>
      </c>
      <c r="E406" s="24" t="s">
        <v>12</v>
      </c>
    </row>
    <row r="407" spans="1:5" ht="15">
      <c r="A407" s="23" t="s">
        <v>435</v>
      </c>
      <c r="B407" s="24" t="s">
        <v>7</v>
      </c>
      <c r="C407" s="24" t="s">
        <v>172</v>
      </c>
      <c r="D407" s="7">
        <v>273910</v>
      </c>
      <c r="E407" s="24" t="s">
        <v>9</v>
      </c>
    </row>
    <row r="408" spans="1:5" ht="15">
      <c r="A408" s="23" t="s">
        <v>436</v>
      </c>
      <c r="B408" s="24" t="s">
        <v>11</v>
      </c>
      <c r="C408" s="24" t="s">
        <v>172</v>
      </c>
      <c r="D408" s="7">
        <v>269589</v>
      </c>
      <c r="E408" s="24" t="s">
        <v>12</v>
      </c>
    </row>
    <row r="409" spans="1:5" ht="15">
      <c r="A409" s="23" t="s">
        <v>437</v>
      </c>
      <c r="B409" s="24" t="s">
        <v>7</v>
      </c>
      <c r="C409" s="24" t="s">
        <v>172</v>
      </c>
      <c r="D409" s="7">
        <v>146808</v>
      </c>
      <c r="E409" s="24" t="s">
        <v>16</v>
      </c>
    </row>
    <row r="410" spans="1:5" ht="15">
      <c r="A410" s="23" t="s">
        <v>438</v>
      </c>
      <c r="B410" s="24" t="s">
        <v>7</v>
      </c>
      <c r="C410" s="24" t="s">
        <v>172</v>
      </c>
      <c r="D410" s="7">
        <v>125235</v>
      </c>
      <c r="E410" s="24" t="s">
        <v>12</v>
      </c>
    </row>
    <row r="411" spans="1:5" ht="15">
      <c r="A411" s="23" t="s">
        <v>439</v>
      </c>
      <c r="B411" s="24" t="s">
        <v>7</v>
      </c>
      <c r="C411" s="24" t="s">
        <v>172</v>
      </c>
      <c r="D411" s="7">
        <v>246839</v>
      </c>
      <c r="E411" s="24" t="s">
        <v>12</v>
      </c>
    </row>
    <row r="412" spans="1:5" ht="15">
      <c r="A412" s="23" t="s">
        <v>440</v>
      </c>
      <c r="B412" s="24" t="s">
        <v>7</v>
      </c>
      <c r="C412" s="24" t="s">
        <v>172</v>
      </c>
      <c r="D412" s="7">
        <v>204874</v>
      </c>
      <c r="E412" s="24" t="s">
        <v>16</v>
      </c>
    </row>
    <row r="413" spans="1:5" ht="15">
      <c r="A413" s="23" t="s">
        <v>441</v>
      </c>
      <c r="B413" s="24" t="s">
        <v>11</v>
      </c>
      <c r="C413" s="24" t="s">
        <v>172</v>
      </c>
      <c r="D413" s="7">
        <v>110656</v>
      </c>
      <c r="E413" s="24" t="s">
        <v>9</v>
      </c>
    </row>
    <row r="414" spans="1:5" ht="15">
      <c r="A414" s="23" t="s">
        <v>442</v>
      </c>
      <c r="B414" s="24" t="s">
        <v>7</v>
      </c>
      <c r="C414" s="24" t="s">
        <v>172</v>
      </c>
      <c r="D414" s="7">
        <v>251402</v>
      </c>
      <c r="E414" s="24" t="s">
        <v>9</v>
      </c>
    </row>
    <row r="415" spans="1:5" ht="15">
      <c r="A415" s="23" t="s">
        <v>443</v>
      </c>
      <c r="B415" s="24" t="s">
        <v>7</v>
      </c>
      <c r="C415" s="24" t="s">
        <v>172</v>
      </c>
      <c r="D415" s="7">
        <v>164295</v>
      </c>
      <c r="E415" s="24" t="s">
        <v>16</v>
      </c>
    </row>
    <row r="416" spans="1:5" ht="15">
      <c r="A416" s="23" t="s">
        <v>444</v>
      </c>
      <c r="B416" s="24" t="s">
        <v>7</v>
      </c>
      <c r="C416" s="24" t="s">
        <v>172</v>
      </c>
      <c r="D416" s="7">
        <v>105370</v>
      </c>
      <c r="E416" s="24" t="s">
        <v>9</v>
      </c>
    </row>
    <row r="417" spans="1:5" ht="15">
      <c r="A417" s="23" t="s">
        <v>445</v>
      </c>
      <c r="B417" s="24" t="s">
        <v>7</v>
      </c>
      <c r="C417" s="24" t="s">
        <v>172</v>
      </c>
      <c r="D417" s="7">
        <v>154004</v>
      </c>
      <c r="E417" s="24" t="s">
        <v>9</v>
      </c>
    </row>
    <row r="418" spans="1:5" ht="15">
      <c r="A418" s="23" t="s">
        <v>446</v>
      </c>
      <c r="B418" s="24" t="s">
        <v>237</v>
      </c>
      <c r="C418" s="24" t="s">
        <v>172</v>
      </c>
      <c r="D418" s="7">
        <v>114422</v>
      </c>
      <c r="E418" s="24" t="s">
        <v>12</v>
      </c>
    </row>
    <row r="419" spans="1:5" ht="15">
      <c r="A419" s="23" t="s">
        <v>446</v>
      </c>
      <c r="B419" s="24" t="s">
        <v>237</v>
      </c>
      <c r="C419" s="24" t="s">
        <v>172</v>
      </c>
      <c r="D419" s="7">
        <v>114422</v>
      </c>
      <c r="E419" s="24" t="s">
        <v>9</v>
      </c>
    </row>
    <row r="420" spans="1:5" ht="15">
      <c r="A420" s="23" t="s">
        <v>447</v>
      </c>
      <c r="B420" s="24" t="s">
        <v>7</v>
      </c>
      <c r="C420" s="24" t="s">
        <v>172</v>
      </c>
      <c r="D420" s="7">
        <v>31125</v>
      </c>
      <c r="E420" s="24" t="s">
        <v>16</v>
      </c>
    </row>
    <row r="421" spans="1:5" ht="15">
      <c r="A421" s="23" t="s">
        <v>448</v>
      </c>
      <c r="B421" s="24" t="s">
        <v>7</v>
      </c>
      <c r="C421" s="24" t="s">
        <v>172</v>
      </c>
      <c r="D421" s="7">
        <v>62019</v>
      </c>
      <c r="E421" s="24" t="s">
        <v>9</v>
      </c>
    </row>
    <row r="422" spans="1:5" ht="15">
      <c r="A422" s="23" t="s">
        <v>449</v>
      </c>
      <c r="B422" s="24" t="s">
        <v>7</v>
      </c>
      <c r="C422" s="24" t="s">
        <v>172</v>
      </c>
      <c r="D422" s="7">
        <v>289439</v>
      </c>
      <c r="E422" s="24" t="s">
        <v>12</v>
      </c>
    </row>
    <row r="423" spans="1:5" ht="15">
      <c r="A423" s="23" t="s">
        <v>450</v>
      </c>
      <c r="B423" s="24" t="s">
        <v>11</v>
      </c>
      <c r="C423" s="24" t="s">
        <v>172</v>
      </c>
      <c r="D423" s="7">
        <v>45441</v>
      </c>
      <c r="E423" s="24" t="s">
        <v>16</v>
      </c>
    </row>
    <row r="424" spans="1:5" ht="15">
      <c r="A424" s="23" t="s">
        <v>451</v>
      </c>
      <c r="B424" s="24" t="s">
        <v>237</v>
      </c>
      <c r="C424" s="24" t="s">
        <v>172</v>
      </c>
      <c r="D424" s="7">
        <v>248454</v>
      </c>
      <c r="E424" s="24" t="s">
        <v>12</v>
      </c>
    </row>
    <row r="425" spans="1:5" ht="15">
      <c r="A425" s="23" t="s">
        <v>452</v>
      </c>
      <c r="B425" s="24" t="s">
        <v>25</v>
      </c>
      <c r="C425" s="24" t="s">
        <v>172</v>
      </c>
      <c r="D425" s="7">
        <v>221691</v>
      </c>
      <c r="E425" s="24" t="s">
        <v>12</v>
      </c>
    </row>
    <row r="426" spans="1:5" ht="15">
      <c r="A426" s="23" t="s">
        <v>453</v>
      </c>
      <c r="B426" s="24" t="s">
        <v>7</v>
      </c>
      <c r="C426" s="24" t="s">
        <v>172</v>
      </c>
      <c r="D426" s="7">
        <v>242630</v>
      </c>
      <c r="E426" s="24" t="s">
        <v>9</v>
      </c>
    </row>
    <row r="427" spans="1:5" ht="15">
      <c r="A427" s="23" t="s">
        <v>454</v>
      </c>
      <c r="B427" s="24" t="s">
        <v>7</v>
      </c>
      <c r="C427" s="24" t="s">
        <v>172</v>
      </c>
      <c r="D427" s="7">
        <v>257999</v>
      </c>
      <c r="E427" s="24" t="s">
        <v>16</v>
      </c>
    </row>
    <row r="428" spans="1:5" ht="15">
      <c r="A428" s="23" t="s">
        <v>455</v>
      </c>
      <c r="B428" s="24" t="s">
        <v>7</v>
      </c>
      <c r="C428" s="24" t="s">
        <v>172</v>
      </c>
      <c r="D428" s="7">
        <v>232952</v>
      </c>
      <c r="E428" s="24" t="s">
        <v>9</v>
      </c>
    </row>
    <row r="429" spans="1:5" ht="15">
      <c r="A429" s="23" t="s">
        <v>456</v>
      </c>
      <c r="B429" s="24" t="s">
        <v>7</v>
      </c>
      <c r="C429" s="24" t="s">
        <v>172</v>
      </c>
      <c r="D429" s="7">
        <v>179490</v>
      </c>
      <c r="E429" s="24" t="s">
        <v>16</v>
      </c>
    </row>
    <row r="430" spans="1:5" ht="15">
      <c r="A430" s="23" t="s">
        <v>457</v>
      </c>
      <c r="B430" s="24" t="s">
        <v>11</v>
      </c>
      <c r="C430" s="24" t="s">
        <v>172</v>
      </c>
      <c r="D430" s="7">
        <v>245946</v>
      </c>
      <c r="E430" s="24" t="s">
        <v>12</v>
      </c>
    </row>
    <row r="431" spans="1:5" ht="15">
      <c r="A431" s="23" t="s">
        <v>458</v>
      </c>
      <c r="B431" s="24" t="s">
        <v>7</v>
      </c>
      <c r="C431" s="24" t="s">
        <v>172</v>
      </c>
      <c r="D431" s="7">
        <v>69680</v>
      </c>
      <c r="E431" s="24" t="s">
        <v>12</v>
      </c>
    </row>
    <row r="432" spans="1:5" ht="15">
      <c r="A432" s="23" t="s">
        <v>459</v>
      </c>
      <c r="B432" s="24" t="s">
        <v>7</v>
      </c>
      <c r="C432" s="24" t="s">
        <v>172</v>
      </c>
      <c r="D432" s="7">
        <v>106461</v>
      </c>
      <c r="E432" s="24" t="s">
        <v>9</v>
      </c>
    </row>
    <row r="433" spans="1:5" ht="15">
      <c r="A433" s="23" t="s">
        <v>460</v>
      </c>
      <c r="B433" s="24" t="s">
        <v>237</v>
      </c>
      <c r="C433" s="24" t="s">
        <v>172</v>
      </c>
      <c r="D433" s="7">
        <v>155297</v>
      </c>
      <c r="E433" s="24" t="s">
        <v>9</v>
      </c>
    </row>
    <row r="434" spans="1:5" ht="15">
      <c r="A434" s="23" t="s">
        <v>461</v>
      </c>
      <c r="B434" s="24" t="s">
        <v>7</v>
      </c>
      <c r="C434" s="24" t="s">
        <v>172</v>
      </c>
      <c r="D434" s="7">
        <v>278443</v>
      </c>
      <c r="E434" s="24" t="s">
        <v>9</v>
      </c>
    </row>
    <row r="435" spans="1:5" ht="15">
      <c r="A435" s="23" t="s">
        <v>462</v>
      </c>
      <c r="B435" s="24" t="s">
        <v>7</v>
      </c>
      <c r="C435" s="24" t="s">
        <v>172</v>
      </c>
      <c r="D435" s="7">
        <v>11596</v>
      </c>
      <c r="E435" s="24" t="s">
        <v>16</v>
      </c>
    </row>
    <row r="436" spans="1:5" ht="15">
      <c r="A436" s="23" t="s">
        <v>463</v>
      </c>
      <c r="B436" s="24" t="s">
        <v>11</v>
      </c>
      <c r="C436" s="24" t="s">
        <v>172</v>
      </c>
      <c r="D436" s="7">
        <v>124791</v>
      </c>
      <c r="E436" s="24" t="s">
        <v>9</v>
      </c>
    </row>
    <row r="437" spans="1:5" ht="15">
      <c r="A437" s="23" t="s">
        <v>464</v>
      </c>
      <c r="B437" s="24" t="s">
        <v>7</v>
      </c>
      <c r="C437" s="24" t="s">
        <v>172</v>
      </c>
      <c r="D437" s="7">
        <v>160319</v>
      </c>
      <c r="E437" s="24" t="s">
        <v>9</v>
      </c>
    </row>
    <row r="438" spans="1:5" ht="15">
      <c r="A438" s="23" t="s">
        <v>465</v>
      </c>
      <c r="B438" s="24" t="s">
        <v>11</v>
      </c>
      <c r="C438" s="24" t="s">
        <v>172</v>
      </c>
      <c r="D438" s="7">
        <v>129209</v>
      </c>
      <c r="E438" s="24" t="s">
        <v>12</v>
      </c>
    </row>
    <row r="439" spans="1:5" ht="15">
      <c r="A439" s="23" t="s">
        <v>466</v>
      </c>
      <c r="B439" s="24" t="s">
        <v>7</v>
      </c>
      <c r="C439" s="24" t="s">
        <v>172</v>
      </c>
      <c r="D439" s="7">
        <v>62677</v>
      </c>
      <c r="E439" s="24" t="s">
        <v>16</v>
      </c>
    </row>
    <row r="440" spans="1:5" ht="15">
      <c r="A440" s="23" t="s">
        <v>467</v>
      </c>
      <c r="B440" s="24" t="s">
        <v>7</v>
      </c>
      <c r="C440" s="24" t="s">
        <v>172</v>
      </c>
      <c r="D440" s="7">
        <v>273775</v>
      </c>
      <c r="E440" s="24" t="s">
        <v>16</v>
      </c>
    </row>
    <row r="441" spans="1:5" ht="15">
      <c r="A441" s="23" t="s">
        <v>468</v>
      </c>
      <c r="B441" s="24" t="s">
        <v>11</v>
      </c>
      <c r="C441" s="24" t="s">
        <v>172</v>
      </c>
      <c r="D441" s="7">
        <v>33611</v>
      </c>
      <c r="E441" s="24" t="s">
        <v>12</v>
      </c>
    </row>
    <row r="442" spans="1:5" ht="15">
      <c r="A442" s="23" t="s">
        <v>469</v>
      </c>
      <c r="B442" s="24" t="s">
        <v>237</v>
      </c>
      <c r="C442" s="24" t="s">
        <v>172</v>
      </c>
      <c r="D442" s="7">
        <v>93746</v>
      </c>
      <c r="E442" s="24" t="s">
        <v>9</v>
      </c>
    </row>
    <row r="443" spans="1:5" ht="15">
      <c r="A443" s="23" t="s">
        <v>470</v>
      </c>
      <c r="B443" s="24" t="s">
        <v>7</v>
      </c>
      <c r="C443" s="24" t="s">
        <v>172</v>
      </c>
      <c r="D443" s="7">
        <v>130879</v>
      </c>
      <c r="E443" s="24" t="s">
        <v>16</v>
      </c>
    </row>
    <row r="444" spans="1:5" ht="15">
      <c r="A444" s="23" t="s">
        <v>471</v>
      </c>
      <c r="B444" s="24" t="s">
        <v>7</v>
      </c>
      <c r="C444" s="24" t="s">
        <v>172</v>
      </c>
      <c r="D444" s="7">
        <v>141856</v>
      </c>
      <c r="E444" s="24" t="s">
        <v>16</v>
      </c>
    </row>
    <row r="445" spans="1:5" ht="15">
      <c r="A445" s="23" t="s">
        <v>472</v>
      </c>
      <c r="B445" s="24" t="s">
        <v>7</v>
      </c>
      <c r="C445" s="24" t="s">
        <v>172</v>
      </c>
      <c r="D445" s="7">
        <v>199475</v>
      </c>
      <c r="E445" s="24" t="s">
        <v>9</v>
      </c>
    </row>
    <row r="446" spans="1:5" ht="15">
      <c r="A446" s="23" t="s">
        <v>473</v>
      </c>
      <c r="B446" s="24" t="s">
        <v>11</v>
      </c>
      <c r="C446" s="24" t="s">
        <v>172</v>
      </c>
      <c r="D446" s="7">
        <v>117657</v>
      </c>
      <c r="E446" s="24" t="s">
        <v>16</v>
      </c>
    </row>
    <row r="447" spans="1:5" ht="15">
      <c r="A447" s="23" t="s">
        <v>474</v>
      </c>
      <c r="B447" s="24" t="s">
        <v>7</v>
      </c>
      <c r="C447" s="24" t="s">
        <v>172</v>
      </c>
      <c r="D447" s="7">
        <v>235272</v>
      </c>
      <c r="E447" s="24" t="s">
        <v>12</v>
      </c>
    </row>
    <row r="448" spans="1:5" ht="15">
      <c r="A448" s="23" t="s">
        <v>475</v>
      </c>
      <c r="B448" s="24" t="s">
        <v>7</v>
      </c>
      <c r="C448" s="24" t="s">
        <v>172</v>
      </c>
      <c r="D448" s="7">
        <v>281459</v>
      </c>
      <c r="E448" s="24" t="s">
        <v>9</v>
      </c>
    </row>
    <row r="449" spans="1:5" ht="15">
      <c r="A449" s="23" t="s">
        <v>476</v>
      </c>
      <c r="B449" s="24" t="s">
        <v>7</v>
      </c>
      <c r="C449" s="24" t="s">
        <v>172</v>
      </c>
      <c r="D449" s="7">
        <v>164525</v>
      </c>
      <c r="E449" s="24" t="s">
        <v>12</v>
      </c>
    </row>
    <row r="450" spans="1:5" ht="15">
      <c r="A450" s="23" t="s">
        <v>477</v>
      </c>
      <c r="B450" s="24" t="s">
        <v>7</v>
      </c>
      <c r="C450" s="24" t="s">
        <v>172</v>
      </c>
      <c r="D450" s="7">
        <v>78412</v>
      </c>
      <c r="E450" s="24" t="s">
        <v>9</v>
      </c>
    </row>
    <row r="451" spans="1:5" ht="15">
      <c r="A451" s="23" t="s">
        <v>478</v>
      </c>
      <c r="B451" s="24" t="s">
        <v>7</v>
      </c>
      <c r="C451" s="24" t="s">
        <v>172</v>
      </c>
      <c r="D451" s="7">
        <v>21838</v>
      </c>
      <c r="E451" s="24" t="s">
        <v>9</v>
      </c>
    </row>
    <row r="452" spans="1:5" ht="15">
      <c r="A452" s="23" t="s">
        <v>479</v>
      </c>
      <c r="B452" s="24" t="s">
        <v>7</v>
      </c>
      <c r="C452" s="24" t="s">
        <v>172</v>
      </c>
      <c r="D452" s="7">
        <v>296342</v>
      </c>
      <c r="E452" s="24" t="s">
        <v>12</v>
      </c>
    </row>
    <row r="453" spans="1:5" ht="15">
      <c r="A453" s="23" t="s">
        <v>480</v>
      </c>
      <c r="B453" s="24" t="s">
        <v>7</v>
      </c>
      <c r="C453" s="24" t="s">
        <v>172</v>
      </c>
      <c r="D453" s="7">
        <v>237987</v>
      </c>
      <c r="E453" s="24" t="s">
        <v>12</v>
      </c>
    </row>
    <row r="454" spans="1:5" ht="15">
      <c r="A454" s="23" t="s">
        <v>481</v>
      </c>
      <c r="B454" s="24" t="s">
        <v>11</v>
      </c>
      <c r="C454" s="24" t="s">
        <v>172</v>
      </c>
      <c r="D454" s="7">
        <v>44248</v>
      </c>
      <c r="E454" s="24" t="s">
        <v>12</v>
      </c>
    </row>
    <row r="455" spans="1:5" ht="15">
      <c r="A455" s="23" t="s">
        <v>482</v>
      </c>
      <c r="B455" s="24" t="s">
        <v>11</v>
      </c>
      <c r="C455" s="24" t="s">
        <v>172</v>
      </c>
      <c r="D455" s="7">
        <v>71478</v>
      </c>
      <c r="E455" s="24" t="s">
        <v>12</v>
      </c>
    </row>
    <row r="456" spans="1:5" ht="15">
      <c r="A456" s="23" t="s">
        <v>483</v>
      </c>
      <c r="B456" s="24" t="s">
        <v>7</v>
      </c>
      <c r="C456" s="24" t="s">
        <v>172</v>
      </c>
      <c r="D456" s="7">
        <v>138879</v>
      </c>
      <c r="E456" s="24" t="s">
        <v>16</v>
      </c>
    </row>
    <row r="457" spans="1:5" ht="15">
      <c r="A457" s="23" t="s">
        <v>484</v>
      </c>
      <c r="B457" s="24" t="s">
        <v>7</v>
      </c>
      <c r="C457" s="24" t="s">
        <v>172</v>
      </c>
      <c r="D457" s="7">
        <v>220366</v>
      </c>
      <c r="E457" s="24" t="s">
        <v>12</v>
      </c>
    </row>
    <row r="458" spans="1:5" ht="15">
      <c r="A458" s="23" t="s">
        <v>485</v>
      </c>
      <c r="B458" s="24" t="s">
        <v>11</v>
      </c>
      <c r="C458" s="24" t="s">
        <v>172</v>
      </c>
      <c r="D458" s="7">
        <v>269517</v>
      </c>
      <c r="E458" s="24" t="s">
        <v>16</v>
      </c>
    </row>
    <row r="459" spans="1:5" ht="15">
      <c r="A459" s="23" t="s">
        <v>486</v>
      </c>
      <c r="B459" s="24" t="s">
        <v>7</v>
      </c>
      <c r="C459" s="24" t="s">
        <v>172</v>
      </c>
      <c r="D459" s="7">
        <v>131252</v>
      </c>
      <c r="E459" s="24" t="s">
        <v>16</v>
      </c>
    </row>
    <row r="460" spans="1:5" ht="15">
      <c r="A460" s="23" t="s">
        <v>487</v>
      </c>
      <c r="B460" s="24" t="s">
        <v>7</v>
      </c>
      <c r="C460" s="24" t="s">
        <v>172</v>
      </c>
      <c r="D460" s="7">
        <v>269884</v>
      </c>
      <c r="E460" s="24" t="s">
        <v>16</v>
      </c>
    </row>
    <row r="461" spans="1:5" ht="15">
      <c r="A461" s="23" t="s">
        <v>488</v>
      </c>
      <c r="B461" s="24" t="s">
        <v>7</v>
      </c>
      <c r="C461" s="24" t="s">
        <v>172</v>
      </c>
      <c r="D461" s="7">
        <v>64165</v>
      </c>
      <c r="E461" s="24" t="s">
        <v>16</v>
      </c>
    </row>
    <row r="462" spans="1:5" ht="15">
      <c r="A462" s="23" t="s">
        <v>489</v>
      </c>
      <c r="B462" s="24" t="s">
        <v>7</v>
      </c>
      <c r="C462" s="24" t="s">
        <v>172</v>
      </c>
      <c r="D462" s="7">
        <v>77862</v>
      </c>
      <c r="E462" s="24" t="s">
        <v>9</v>
      </c>
    </row>
    <row r="463" spans="1:5" ht="15">
      <c r="A463" s="23" t="s">
        <v>490</v>
      </c>
      <c r="B463" s="24" t="s">
        <v>11</v>
      </c>
      <c r="C463" s="24" t="s">
        <v>172</v>
      </c>
      <c r="D463" s="7">
        <v>119367</v>
      </c>
      <c r="E463" s="24" t="s">
        <v>16</v>
      </c>
    </row>
    <row r="464" spans="1:5" ht="15">
      <c r="A464" s="23" t="s">
        <v>491</v>
      </c>
      <c r="B464" s="24" t="s">
        <v>7</v>
      </c>
      <c r="C464" s="24" t="s">
        <v>172</v>
      </c>
      <c r="D464" s="7">
        <v>24108</v>
      </c>
      <c r="E464" s="24" t="s">
        <v>9</v>
      </c>
    </row>
    <row r="465" spans="1:5" ht="15">
      <c r="A465" s="23" t="s">
        <v>492</v>
      </c>
      <c r="B465" s="24" t="s">
        <v>7</v>
      </c>
      <c r="C465" s="24" t="s">
        <v>172</v>
      </c>
      <c r="D465" s="7">
        <v>65667</v>
      </c>
      <c r="E465" s="24" t="s">
        <v>16</v>
      </c>
    </row>
    <row r="466" spans="1:5" ht="15">
      <c r="A466" s="23" t="s">
        <v>493</v>
      </c>
      <c r="B466" s="24" t="s">
        <v>7</v>
      </c>
      <c r="C466" s="24" t="s">
        <v>172</v>
      </c>
      <c r="D466" s="7">
        <v>148590</v>
      </c>
      <c r="E466" s="24" t="s">
        <v>12</v>
      </c>
    </row>
    <row r="467" spans="1:5" ht="15">
      <c r="A467" s="23" t="s">
        <v>494</v>
      </c>
      <c r="B467" s="24" t="s">
        <v>7</v>
      </c>
      <c r="C467" s="24" t="s">
        <v>172</v>
      </c>
      <c r="D467" s="7">
        <v>120692</v>
      </c>
      <c r="E467" s="24" t="s">
        <v>9</v>
      </c>
    </row>
    <row r="468" spans="1:5" ht="15">
      <c r="A468" s="23" t="s">
        <v>495</v>
      </c>
      <c r="B468" s="24" t="s">
        <v>11</v>
      </c>
      <c r="C468" s="24" t="s">
        <v>172</v>
      </c>
      <c r="D468" s="7">
        <v>36964</v>
      </c>
      <c r="E468" s="24" t="s">
        <v>12</v>
      </c>
    </row>
    <row r="469" spans="1:5" ht="15">
      <c r="A469" s="23" t="s">
        <v>496</v>
      </c>
      <c r="B469" s="24" t="s">
        <v>11</v>
      </c>
      <c r="C469" s="24" t="s">
        <v>172</v>
      </c>
      <c r="D469" s="7">
        <v>199065</v>
      </c>
      <c r="E469" s="24" t="s">
        <v>12</v>
      </c>
    </row>
    <row r="470" spans="1:5" ht="15">
      <c r="A470" s="23" t="s">
        <v>497</v>
      </c>
      <c r="B470" s="24" t="s">
        <v>7</v>
      </c>
      <c r="C470" s="24" t="s">
        <v>172</v>
      </c>
      <c r="D470" s="7">
        <v>57409</v>
      </c>
      <c r="E470" s="24" t="s">
        <v>9</v>
      </c>
    </row>
    <row r="471" spans="1:5" ht="15">
      <c r="A471" s="23" t="s">
        <v>498</v>
      </c>
      <c r="B471" s="24" t="s">
        <v>11</v>
      </c>
      <c r="C471" s="24" t="s">
        <v>172</v>
      </c>
      <c r="D471" s="7">
        <v>102781</v>
      </c>
      <c r="E471" s="24" t="s">
        <v>16</v>
      </c>
    </row>
    <row r="472" spans="1:5" ht="15">
      <c r="A472" s="23" t="s">
        <v>499</v>
      </c>
      <c r="B472" s="24" t="s">
        <v>7</v>
      </c>
      <c r="C472" s="24" t="s">
        <v>172</v>
      </c>
      <c r="D472" s="7">
        <v>222272</v>
      </c>
      <c r="E472" s="24" t="s">
        <v>12</v>
      </c>
    </row>
    <row r="473" spans="1:5" ht="15">
      <c r="A473" s="23" t="s">
        <v>500</v>
      </c>
      <c r="B473" s="24" t="s">
        <v>7</v>
      </c>
      <c r="C473" s="24" t="s">
        <v>172</v>
      </c>
      <c r="D473" s="7">
        <v>153339</v>
      </c>
      <c r="E473" s="24" t="s">
        <v>16</v>
      </c>
    </row>
    <row r="474" spans="1:5" ht="15">
      <c r="A474" s="23" t="s">
        <v>501</v>
      </c>
      <c r="B474" s="24" t="s">
        <v>7</v>
      </c>
      <c r="C474" s="24" t="s">
        <v>172</v>
      </c>
      <c r="D474" s="7">
        <v>230466</v>
      </c>
      <c r="E474" s="24" t="s">
        <v>16</v>
      </c>
    </row>
    <row r="475" spans="1:5" ht="15">
      <c r="A475" s="23" t="s">
        <v>502</v>
      </c>
      <c r="B475" s="24" t="s">
        <v>7</v>
      </c>
      <c r="C475" s="24" t="s">
        <v>172</v>
      </c>
      <c r="D475" s="7">
        <v>142432</v>
      </c>
      <c r="E475" s="24" t="s">
        <v>16</v>
      </c>
    </row>
    <row r="476" spans="1:5" ht="15">
      <c r="A476" s="23" t="s">
        <v>503</v>
      </c>
      <c r="B476" s="24" t="s">
        <v>7</v>
      </c>
      <c r="C476" s="24" t="s">
        <v>172</v>
      </c>
      <c r="D476" s="7">
        <v>247012</v>
      </c>
      <c r="E476" s="24" t="s">
        <v>9</v>
      </c>
    </row>
    <row r="477" spans="1:5" ht="15">
      <c r="A477" s="23" t="s">
        <v>504</v>
      </c>
      <c r="B477" s="24" t="s">
        <v>7</v>
      </c>
      <c r="C477" s="24" t="s">
        <v>172</v>
      </c>
      <c r="D477" s="7">
        <v>178268</v>
      </c>
      <c r="E477" s="24" t="s">
        <v>9</v>
      </c>
    </row>
    <row r="478" spans="1:5" ht="15">
      <c r="A478" s="23" t="s">
        <v>505</v>
      </c>
      <c r="B478" s="24" t="s">
        <v>7</v>
      </c>
      <c r="C478" s="24" t="s">
        <v>172</v>
      </c>
      <c r="D478" s="7">
        <v>250158</v>
      </c>
      <c r="E478" s="24" t="s">
        <v>16</v>
      </c>
    </row>
    <row r="479" spans="1:5" ht="15">
      <c r="A479" s="23" t="s">
        <v>506</v>
      </c>
      <c r="B479" s="24" t="s">
        <v>7</v>
      </c>
      <c r="C479" s="24" t="s">
        <v>172</v>
      </c>
      <c r="D479" s="7">
        <v>259767</v>
      </c>
      <c r="E479" s="24" t="s">
        <v>12</v>
      </c>
    </row>
    <row r="480" spans="1:5" ht="15">
      <c r="A480" s="23" t="s">
        <v>507</v>
      </c>
      <c r="B480" s="24" t="s">
        <v>7</v>
      </c>
      <c r="C480" s="24" t="s">
        <v>172</v>
      </c>
      <c r="D480" s="7">
        <v>127074</v>
      </c>
      <c r="E480" s="24" t="s">
        <v>16</v>
      </c>
    </row>
    <row r="481" spans="1:5" ht="15">
      <c r="A481" s="23" t="s">
        <v>508</v>
      </c>
      <c r="B481" s="24" t="s">
        <v>7</v>
      </c>
      <c r="C481" s="24" t="s">
        <v>172</v>
      </c>
      <c r="D481" s="7">
        <v>88845</v>
      </c>
      <c r="E481" s="24" t="s">
        <v>12</v>
      </c>
    </row>
    <row r="482" spans="1:5" ht="15">
      <c r="A482" s="23" t="s">
        <v>509</v>
      </c>
      <c r="B482" s="24" t="s">
        <v>7</v>
      </c>
      <c r="C482" s="24" t="s">
        <v>172</v>
      </c>
      <c r="D482" s="7">
        <v>2704</v>
      </c>
      <c r="E482" s="24" t="s">
        <v>12</v>
      </c>
    </row>
    <row r="483" spans="1:5" ht="15">
      <c r="A483" s="23" t="s">
        <v>510</v>
      </c>
      <c r="B483" s="24" t="s">
        <v>11</v>
      </c>
      <c r="C483" s="24" t="s">
        <v>172</v>
      </c>
      <c r="D483" s="7">
        <v>10599</v>
      </c>
      <c r="E483" s="24" t="s">
        <v>9</v>
      </c>
    </row>
    <row r="484" spans="1:5" ht="15">
      <c r="A484" s="23" t="s">
        <v>511</v>
      </c>
      <c r="B484" s="24" t="s">
        <v>7</v>
      </c>
      <c r="C484" s="24" t="s">
        <v>172</v>
      </c>
      <c r="D484" s="7">
        <v>167908</v>
      </c>
      <c r="E484" s="24" t="s">
        <v>16</v>
      </c>
    </row>
    <row r="485" spans="1:5" ht="15">
      <c r="A485" s="23" t="s">
        <v>512</v>
      </c>
      <c r="B485" s="24" t="s">
        <v>7</v>
      </c>
      <c r="C485" s="24" t="s">
        <v>172</v>
      </c>
      <c r="D485" s="7">
        <v>217107</v>
      </c>
      <c r="E485" s="24" t="s">
        <v>9</v>
      </c>
    </row>
    <row r="486" spans="1:5" ht="15">
      <c r="A486" s="23" t="s">
        <v>513</v>
      </c>
      <c r="B486" s="24" t="s">
        <v>11</v>
      </c>
      <c r="C486" s="24" t="s">
        <v>172</v>
      </c>
      <c r="D486" s="7">
        <v>80757</v>
      </c>
      <c r="E486" s="24" t="s">
        <v>16</v>
      </c>
    </row>
    <row r="487" spans="1:5" ht="15">
      <c r="A487" s="23" t="s">
        <v>514</v>
      </c>
      <c r="B487" s="24" t="s">
        <v>7</v>
      </c>
      <c r="C487" s="24" t="s">
        <v>172</v>
      </c>
      <c r="D487" s="7">
        <v>288554</v>
      </c>
      <c r="E487" s="24" t="s">
        <v>12</v>
      </c>
    </row>
    <row r="488" spans="1:5" ht="15">
      <c r="A488" s="23" t="s">
        <v>515</v>
      </c>
      <c r="B488" s="24" t="s">
        <v>7</v>
      </c>
      <c r="C488" s="24" t="s">
        <v>172</v>
      </c>
      <c r="D488" s="7">
        <v>295734</v>
      </c>
      <c r="E488" s="24" t="s">
        <v>12</v>
      </c>
    </row>
    <row r="489" spans="1:5" ht="15">
      <c r="A489" s="23" t="s">
        <v>516</v>
      </c>
      <c r="B489" s="24" t="s">
        <v>11</v>
      </c>
      <c r="C489" s="24" t="s">
        <v>172</v>
      </c>
      <c r="D489" s="7">
        <v>37003</v>
      </c>
      <c r="E489" s="24" t="s">
        <v>9</v>
      </c>
    </row>
    <row r="490" spans="1:5" ht="15">
      <c r="A490" s="23" t="s">
        <v>517</v>
      </c>
      <c r="B490" s="24" t="s">
        <v>7</v>
      </c>
      <c r="C490" s="24" t="s">
        <v>172</v>
      </c>
      <c r="D490" s="7">
        <v>49587</v>
      </c>
      <c r="E490" s="24" t="s">
        <v>12</v>
      </c>
    </row>
    <row r="491" spans="1:5" ht="15">
      <c r="A491" s="23" t="s">
        <v>518</v>
      </c>
      <c r="B491" s="24" t="s">
        <v>7</v>
      </c>
      <c r="C491" s="24" t="s">
        <v>172</v>
      </c>
      <c r="D491" s="7">
        <v>135960</v>
      </c>
      <c r="E491" s="24" t="s">
        <v>16</v>
      </c>
    </row>
    <row r="492" spans="1:5" ht="15">
      <c r="A492" s="23" t="s">
        <v>519</v>
      </c>
      <c r="B492" s="24" t="s">
        <v>7</v>
      </c>
      <c r="C492" s="24" t="s">
        <v>172</v>
      </c>
      <c r="D492" s="7">
        <v>68663</v>
      </c>
      <c r="E492" s="24" t="s">
        <v>9</v>
      </c>
    </row>
    <row r="493" spans="1:5" ht="15">
      <c r="A493" s="23" t="s">
        <v>520</v>
      </c>
      <c r="B493" s="24" t="s">
        <v>7</v>
      </c>
      <c r="C493" s="24" t="s">
        <v>172</v>
      </c>
      <c r="D493" s="7">
        <v>21444</v>
      </c>
      <c r="E493" s="24" t="s">
        <v>12</v>
      </c>
    </row>
    <row r="494" spans="1:5" ht="15">
      <c r="A494" s="23" t="s">
        <v>521</v>
      </c>
      <c r="B494" s="24" t="s">
        <v>11</v>
      </c>
      <c r="C494" s="24" t="s">
        <v>172</v>
      </c>
      <c r="D494" s="7">
        <v>152442</v>
      </c>
      <c r="E494" s="24" t="s">
        <v>12</v>
      </c>
    </row>
    <row r="495" spans="1:5" ht="15">
      <c r="A495" s="23" t="s">
        <v>522</v>
      </c>
      <c r="B495" s="24" t="s">
        <v>7</v>
      </c>
      <c r="C495" s="24" t="s">
        <v>172</v>
      </c>
      <c r="D495" s="7">
        <v>256970</v>
      </c>
      <c r="E495" s="24" t="s">
        <v>16</v>
      </c>
    </row>
    <row r="496" spans="1:5" ht="15">
      <c r="A496" s="23" t="s">
        <v>526</v>
      </c>
      <c r="B496" s="24" t="s">
        <v>11</v>
      </c>
      <c r="C496" s="24" t="s">
        <v>172</v>
      </c>
      <c r="D496" s="7">
        <v>67669</v>
      </c>
      <c r="E496" s="24" t="s">
        <v>12</v>
      </c>
    </row>
    <row r="497" spans="1:5" ht="15">
      <c r="A497" s="23" t="s">
        <v>527</v>
      </c>
      <c r="B497" s="24" t="s">
        <v>7</v>
      </c>
      <c r="C497" s="24" t="s">
        <v>172</v>
      </c>
      <c r="D497" s="7">
        <v>293972</v>
      </c>
      <c r="E497" s="24" t="s">
        <v>16</v>
      </c>
    </row>
    <row r="498" spans="1:5" ht="15">
      <c r="A498" s="23" t="s">
        <v>528</v>
      </c>
      <c r="B498" s="24" t="s">
        <v>7</v>
      </c>
      <c r="C498" s="24" t="s">
        <v>172</v>
      </c>
      <c r="D498" s="7">
        <v>281114</v>
      </c>
      <c r="E498" s="24" t="s">
        <v>12</v>
      </c>
    </row>
    <row r="499" spans="1:5" ht="15">
      <c r="A499" s="23" t="s">
        <v>529</v>
      </c>
      <c r="B499" s="24" t="s">
        <v>7</v>
      </c>
      <c r="C499" s="24" t="s">
        <v>172</v>
      </c>
      <c r="D499" s="7">
        <v>56901</v>
      </c>
      <c r="E499" s="24" t="s">
        <v>12</v>
      </c>
    </row>
    <row r="500" spans="1:5" ht="15">
      <c r="A500" s="23" t="s">
        <v>530</v>
      </c>
      <c r="B500" s="24" t="s">
        <v>11</v>
      </c>
      <c r="C500" s="24" t="s">
        <v>172</v>
      </c>
      <c r="D500" s="7">
        <v>106125</v>
      </c>
      <c r="E500" s="24" t="s">
        <v>9</v>
      </c>
    </row>
    <row r="501" spans="1:5" ht="15">
      <c r="A501" s="23" t="s">
        <v>531</v>
      </c>
      <c r="B501" s="24" t="s">
        <v>7</v>
      </c>
      <c r="C501" s="24" t="s">
        <v>172</v>
      </c>
      <c r="D501" s="7">
        <v>171463</v>
      </c>
      <c r="E501" s="24" t="s">
        <v>12</v>
      </c>
    </row>
    <row r="502" spans="1:5" ht="15">
      <c r="A502" s="23" t="s">
        <v>532</v>
      </c>
      <c r="B502" s="24" t="s">
        <v>7</v>
      </c>
      <c r="C502" s="24" t="s">
        <v>172</v>
      </c>
      <c r="D502" s="7">
        <v>238349</v>
      </c>
      <c r="E502" s="24" t="s">
        <v>12</v>
      </c>
    </row>
    <row r="503" spans="1:5" ht="15">
      <c r="A503" s="23" t="s">
        <v>533</v>
      </c>
      <c r="B503" s="24" t="s">
        <v>7</v>
      </c>
      <c r="C503" s="24" t="s">
        <v>172</v>
      </c>
      <c r="D503" s="7">
        <v>170769</v>
      </c>
      <c r="E503" s="24" t="s">
        <v>12</v>
      </c>
    </row>
    <row r="504" spans="1:5" ht="15">
      <c r="A504" s="23" t="s">
        <v>534</v>
      </c>
      <c r="B504" s="24" t="s">
        <v>11</v>
      </c>
      <c r="C504" s="24" t="s">
        <v>172</v>
      </c>
      <c r="D504" s="7">
        <v>160365</v>
      </c>
      <c r="E504" s="24" t="s">
        <v>12</v>
      </c>
    </row>
    <row r="505" spans="1:5" ht="15">
      <c r="A505" s="23" t="s">
        <v>535</v>
      </c>
      <c r="B505" s="24" t="s">
        <v>7</v>
      </c>
      <c r="C505" s="24" t="s">
        <v>172</v>
      </c>
      <c r="D505" s="7">
        <v>158384</v>
      </c>
      <c r="E505" s="24" t="s">
        <v>12</v>
      </c>
    </row>
    <row r="506" spans="1:5" ht="15">
      <c r="A506" s="23" t="s">
        <v>536</v>
      </c>
      <c r="B506" s="24" t="s">
        <v>7</v>
      </c>
      <c r="C506" s="24" t="s">
        <v>172</v>
      </c>
      <c r="D506" s="7">
        <v>158118</v>
      </c>
      <c r="E506" s="24" t="s">
        <v>16</v>
      </c>
    </row>
    <row r="507" spans="1:5" ht="15">
      <c r="A507" s="23" t="s">
        <v>537</v>
      </c>
      <c r="B507" s="24" t="s">
        <v>7</v>
      </c>
      <c r="C507" s="24" t="s">
        <v>172</v>
      </c>
      <c r="D507" s="7">
        <v>144299</v>
      </c>
      <c r="E507" s="24" t="s">
        <v>12</v>
      </c>
    </row>
    <row r="508" spans="1:5" ht="15">
      <c r="A508" s="23" t="s">
        <v>538</v>
      </c>
      <c r="B508" s="24" t="s">
        <v>7</v>
      </c>
      <c r="C508" s="24" t="s">
        <v>172</v>
      </c>
      <c r="D508" s="7">
        <v>154246</v>
      </c>
      <c r="E508" s="24" t="s">
        <v>12</v>
      </c>
    </row>
    <row r="509" spans="1:5" ht="15">
      <c r="A509" s="23" t="s">
        <v>539</v>
      </c>
      <c r="B509" s="24" t="s">
        <v>7</v>
      </c>
      <c r="C509" s="24" t="s">
        <v>172</v>
      </c>
      <c r="D509" s="7">
        <v>182434</v>
      </c>
      <c r="E509" s="24" t="s">
        <v>16</v>
      </c>
    </row>
    <row r="510" spans="1:5" ht="15">
      <c r="A510" s="23" t="s">
        <v>540</v>
      </c>
      <c r="B510" s="24" t="s">
        <v>11</v>
      </c>
      <c r="C510" s="24" t="s">
        <v>172</v>
      </c>
      <c r="D510" s="7">
        <v>93034</v>
      </c>
      <c r="E510" s="24" t="s">
        <v>12</v>
      </c>
    </row>
    <row r="511" spans="1:5" ht="15">
      <c r="A511" s="23" t="s">
        <v>541</v>
      </c>
      <c r="B511" s="24" t="s">
        <v>11</v>
      </c>
      <c r="C511" s="24" t="s">
        <v>172</v>
      </c>
      <c r="D511" s="7">
        <v>1725</v>
      </c>
      <c r="E511" s="24" t="s">
        <v>9</v>
      </c>
    </row>
    <row r="512" spans="1:5" ht="15">
      <c r="A512" s="23" t="s">
        <v>542</v>
      </c>
      <c r="B512" s="24" t="s">
        <v>7</v>
      </c>
      <c r="C512" s="24" t="s">
        <v>172</v>
      </c>
      <c r="D512" s="7">
        <v>259946</v>
      </c>
      <c r="E512" s="24" t="s">
        <v>16</v>
      </c>
    </row>
    <row r="513" spans="1:5" ht="15">
      <c r="A513" s="23" t="s">
        <v>543</v>
      </c>
      <c r="B513" s="24" t="s">
        <v>7</v>
      </c>
      <c r="C513" s="24" t="s">
        <v>172</v>
      </c>
      <c r="D513" s="7">
        <v>162855</v>
      </c>
      <c r="E513" s="24" t="s">
        <v>9</v>
      </c>
    </row>
    <row r="514" spans="1:5" ht="15">
      <c r="A514" s="23" t="s">
        <v>544</v>
      </c>
      <c r="B514" s="24" t="s">
        <v>7</v>
      </c>
      <c r="C514" s="24" t="s">
        <v>172</v>
      </c>
      <c r="D514" s="7">
        <v>56720</v>
      </c>
      <c r="E514" s="24" t="s">
        <v>16</v>
      </c>
    </row>
    <row r="515" spans="1:5" ht="15">
      <c r="A515" s="23" t="s">
        <v>545</v>
      </c>
      <c r="B515" s="24" t="s">
        <v>7</v>
      </c>
      <c r="C515" s="24" t="s">
        <v>172</v>
      </c>
      <c r="D515" s="7">
        <v>199930</v>
      </c>
      <c r="E515" s="24" t="s">
        <v>9</v>
      </c>
    </row>
    <row r="516" spans="1:5" ht="15">
      <c r="A516" s="23" t="s">
        <v>546</v>
      </c>
      <c r="B516" s="24" t="s">
        <v>7</v>
      </c>
      <c r="C516" s="24" t="s">
        <v>172</v>
      </c>
      <c r="D516" s="7">
        <v>281504</v>
      </c>
      <c r="E516" s="24" t="s">
        <v>9</v>
      </c>
    </row>
    <row r="517" spans="1:5" ht="15">
      <c r="A517" s="23" t="s">
        <v>547</v>
      </c>
      <c r="B517" s="24" t="s">
        <v>7</v>
      </c>
      <c r="C517" s="24" t="s">
        <v>172</v>
      </c>
      <c r="D517" s="7">
        <v>242575</v>
      </c>
      <c r="E517" s="24" t="s">
        <v>9</v>
      </c>
    </row>
    <row r="518" spans="1:5" ht="15">
      <c r="A518" s="23" t="s">
        <v>548</v>
      </c>
      <c r="B518" s="24" t="s">
        <v>7</v>
      </c>
      <c r="C518" s="24" t="s">
        <v>172</v>
      </c>
      <c r="D518" s="7">
        <v>219064</v>
      </c>
      <c r="E518" s="24" t="s">
        <v>12</v>
      </c>
    </row>
    <row r="519" spans="1:5" ht="15">
      <c r="A519" s="23" t="s">
        <v>549</v>
      </c>
      <c r="B519" s="24" t="s">
        <v>7</v>
      </c>
      <c r="C519" s="24" t="s">
        <v>172</v>
      </c>
      <c r="D519" s="7">
        <v>254320</v>
      </c>
      <c r="E519" s="24" t="s">
        <v>9</v>
      </c>
    </row>
    <row r="520" spans="1:5" ht="15">
      <c r="A520" s="23" t="s">
        <v>550</v>
      </c>
      <c r="B520" s="24" t="s">
        <v>7</v>
      </c>
      <c r="C520" s="24" t="s">
        <v>172</v>
      </c>
      <c r="D520" s="7">
        <v>176417</v>
      </c>
      <c r="E520" s="24" t="s">
        <v>9</v>
      </c>
    </row>
    <row r="521" spans="1:5" ht="15">
      <c r="A521" s="23" t="s">
        <v>551</v>
      </c>
      <c r="B521" s="24" t="s">
        <v>7</v>
      </c>
      <c r="C521" s="24" t="s">
        <v>172</v>
      </c>
      <c r="D521" s="7">
        <v>11362</v>
      </c>
      <c r="E521" s="24" t="s">
        <v>12</v>
      </c>
    </row>
    <row r="522" spans="1:5" ht="15">
      <c r="A522" s="23" t="s">
        <v>552</v>
      </c>
      <c r="B522" s="24" t="s">
        <v>7</v>
      </c>
      <c r="C522" s="24" t="s">
        <v>172</v>
      </c>
      <c r="D522" s="7">
        <v>137517</v>
      </c>
      <c r="E522" s="24" t="s">
        <v>12</v>
      </c>
    </row>
    <row r="523" spans="1:5" ht="15">
      <c r="A523" s="23" t="s">
        <v>553</v>
      </c>
      <c r="B523" s="24" t="s">
        <v>7</v>
      </c>
      <c r="C523" s="24" t="s">
        <v>172</v>
      </c>
      <c r="D523" s="7">
        <v>48991</v>
      </c>
      <c r="E523" s="24" t="s">
        <v>12</v>
      </c>
    </row>
    <row r="524" spans="1:5" ht="15">
      <c r="A524" s="23" t="s">
        <v>554</v>
      </c>
      <c r="B524" s="24" t="s">
        <v>11</v>
      </c>
      <c r="C524" s="24" t="s">
        <v>172</v>
      </c>
      <c r="D524" s="7">
        <v>51699</v>
      </c>
      <c r="E524" s="24" t="s">
        <v>12</v>
      </c>
    </row>
    <row r="525" spans="1:5" ht="15">
      <c r="A525" s="23" t="s">
        <v>555</v>
      </c>
      <c r="B525" s="24" t="s">
        <v>11</v>
      </c>
      <c r="C525" s="24" t="s">
        <v>172</v>
      </c>
      <c r="D525" s="7">
        <v>286557</v>
      </c>
      <c r="E525" s="24" t="s">
        <v>12</v>
      </c>
    </row>
    <row r="526" spans="1:5" ht="15">
      <c r="A526" s="23" t="s">
        <v>556</v>
      </c>
      <c r="B526" s="24" t="s">
        <v>7</v>
      </c>
      <c r="C526" s="24" t="s">
        <v>172</v>
      </c>
      <c r="D526" s="7">
        <v>44429</v>
      </c>
      <c r="E526" s="24" t="s">
        <v>16</v>
      </c>
    </row>
    <row r="527" spans="1:5" ht="15">
      <c r="A527" s="23" t="s">
        <v>557</v>
      </c>
      <c r="B527" s="24" t="s">
        <v>7</v>
      </c>
      <c r="C527" s="24" t="s">
        <v>172</v>
      </c>
      <c r="D527" s="7">
        <v>44939</v>
      </c>
      <c r="E527" s="24" t="s">
        <v>12</v>
      </c>
    </row>
    <row r="528" spans="1:5" ht="15">
      <c r="A528" s="23" t="s">
        <v>558</v>
      </c>
      <c r="B528" s="24" t="s">
        <v>11</v>
      </c>
      <c r="C528" s="24" t="s">
        <v>172</v>
      </c>
      <c r="D528" s="7">
        <v>187140</v>
      </c>
      <c r="E528" s="24" t="s">
        <v>16</v>
      </c>
    </row>
    <row r="529" spans="1:5" ht="15">
      <c r="A529" s="23" t="s">
        <v>559</v>
      </c>
      <c r="B529" s="24" t="s">
        <v>7</v>
      </c>
      <c r="C529" s="24" t="s">
        <v>172</v>
      </c>
      <c r="D529" s="7">
        <v>280366</v>
      </c>
      <c r="E529" s="24" t="s">
        <v>12</v>
      </c>
    </row>
    <row r="530" spans="1:5" ht="15">
      <c r="A530" s="23" t="s">
        <v>560</v>
      </c>
      <c r="B530" s="24" t="s">
        <v>7</v>
      </c>
      <c r="C530" s="24" t="s">
        <v>172</v>
      </c>
      <c r="D530" s="7">
        <v>112605</v>
      </c>
      <c r="E530" s="24" t="s">
        <v>9</v>
      </c>
    </row>
    <row r="531" spans="1:5" ht="15">
      <c r="A531" s="23" t="s">
        <v>561</v>
      </c>
      <c r="B531" s="24" t="s">
        <v>7</v>
      </c>
      <c r="C531" s="24" t="s">
        <v>172</v>
      </c>
      <c r="D531" s="7">
        <v>285963</v>
      </c>
      <c r="E531" s="24" t="s">
        <v>9</v>
      </c>
    </row>
    <row r="532" spans="1:5" ht="15">
      <c r="A532" s="23" t="s">
        <v>562</v>
      </c>
      <c r="B532" s="24" t="s">
        <v>7</v>
      </c>
      <c r="C532" s="24" t="s">
        <v>172</v>
      </c>
      <c r="D532" s="7">
        <v>1678</v>
      </c>
      <c r="E532" s="24" t="s">
        <v>16</v>
      </c>
    </row>
    <row r="533" spans="1:5" ht="15">
      <c r="A533" s="23" t="s">
        <v>563</v>
      </c>
      <c r="B533" s="24" t="s">
        <v>7</v>
      </c>
      <c r="C533" s="24" t="s">
        <v>172</v>
      </c>
      <c r="D533" s="7">
        <v>266963</v>
      </c>
      <c r="E533" s="24" t="s">
        <v>9</v>
      </c>
    </row>
    <row r="534" spans="1:5" ht="15">
      <c r="A534" s="23" t="s">
        <v>564</v>
      </c>
      <c r="B534" s="24" t="s">
        <v>7</v>
      </c>
      <c r="C534" s="24" t="s">
        <v>172</v>
      </c>
      <c r="D534" s="7">
        <v>220443</v>
      </c>
      <c r="E534" s="24" t="s">
        <v>16</v>
      </c>
    </row>
    <row r="535" spans="1:5" ht="15">
      <c r="A535" s="23" t="s">
        <v>565</v>
      </c>
      <c r="B535" s="24" t="s">
        <v>7</v>
      </c>
      <c r="C535" s="24" t="s">
        <v>172</v>
      </c>
      <c r="D535" s="7">
        <v>259607</v>
      </c>
      <c r="E535" s="24" t="s">
        <v>12</v>
      </c>
    </row>
    <row r="536" spans="1:5" ht="15">
      <c r="A536" s="23" t="s">
        <v>566</v>
      </c>
      <c r="B536" s="24" t="s">
        <v>11</v>
      </c>
      <c r="C536" s="24" t="s">
        <v>172</v>
      </c>
      <c r="D536" s="7">
        <v>188862</v>
      </c>
      <c r="E536" s="24" t="s">
        <v>12</v>
      </c>
    </row>
    <row r="537" spans="1:5" ht="15">
      <c r="A537" s="23" t="s">
        <v>567</v>
      </c>
      <c r="B537" s="24" t="s">
        <v>7</v>
      </c>
      <c r="C537" s="24" t="s">
        <v>172</v>
      </c>
      <c r="D537" s="7">
        <v>68818</v>
      </c>
      <c r="E537" s="24" t="s">
        <v>9</v>
      </c>
    </row>
    <row r="538" spans="1:5" ht="15">
      <c r="A538" s="23" t="s">
        <v>568</v>
      </c>
      <c r="B538" s="24" t="s">
        <v>11</v>
      </c>
      <c r="C538" s="24" t="s">
        <v>172</v>
      </c>
      <c r="D538" s="7">
        <v>233962</v>
      </c>
      <c r="E538" s="24" t="s">
        <v>9</v>
      </c>
    </row>
    <row r="539" spans="1:5" ht="15">
      <c r="A539" s="23" t="s">
        <v>569</v>
      </c>
      <c r="B539" s="24" t="s">
        <v>11</v>
      </c>
      <c r="C539" s="24" t="s">
        <v>172</v>
      </c>
      <c r="D539" s="7">
        <v>200068</v>
      </c>
      <c r="E539" s="24" t="s">
        <v>12</v>
      </c>
    </row>
    <row r="540" spans="1:5" ht="15">
      <c r="A540" s="23" t="s">
        <v>570</v>
      </c>
      <c r="B540" s="24" t="s">
        <v>7</v>
      </c>
      <c r="C540" s="24" t="s">
        <v>172</v>
      </c>
      <c r="D540" s="7">
        <v>204309</v>
      </c>
      <c r="E540" s="24" t="s">
        <v>12</v>
      </c>
    </row>
    <row r="541" spans="1:5" ht="15">
      <c r="A541" s="23" t="s">
        <v>571</v>
      </c>
      <c r="B541" s="24" t="s">
        <v>7</v>
      </c>
      <c r="C541" s="24" t="s">
        <v>172</v>
      </c>
      <c r="D541" s="7">
        <v>9668</v>
      </c>
      <c r="E541" s="24" t="s">
        <v>16</v>
      </c>
    </row>
    <row r="542" spans="1:5" ht="15">
      <c r="A542" s="23" t="s">
        <v>572</v>
      </c>
      <c r="B542" s="24" t="s">
        <v>25</v>
      </c>
      <c r="C542" s="24" t="s">
        <v>172</v>
      </c>
      <c r="D542" s="7">
        <v>15948</v>
      </c>
      <c r="E542" s="24" t="s">
        <v>12</v>
      </c>
    </row>
    <row r="543" spans="1:5" ht="15">
      <c r="A543" s="23" t="s">
        <v>573</v>
      </c>
      <c r="B543" s="24" t="s">
        <v>7</v>
      </c>
      <c r="C543" s="24" t="s">
        <v>172</v>
      </c>
      <c r="D543" s="7">
        <v>221482</v>
      </c>
      <c r="E543" s="24" t="s">
        <v>9</v>
      </c>
    </row>
    <row r="544" spans="1:5" ht="15">
      <c r="A544" s="23" t="s">
        <v>574</v>
      </c>
      <c r="B544" s="24" t="s">
        <v>7</v>
      </c>
      <c r="C544" s="24" t="s">
        <v>172</v>
      </c>
      <c r="D544" s="7">
        <v>91869</v>
      </c>
      <c r="E544" s="24" t="s">
        <v>16</v>
      </c>
    </row>
    <row r="545" spans="1:5" ht="15">
      <c r="A545" s="23" t="s">
        <v>575</v>
      </c>
      <c r="B545" s="24" t="s">
        <v>11</v>
      </c>
      <c r="C545" s="24" t="s">
        <v>172</v>
      </c>
      <c r="D545" s="7">
        <v>131480</v>
      </c>
      <c r="E545" s="24" t="s">
        <v>16</v>
      </c>
    </row>
    <row r="546" spans="1:5" ht="15">
      <c r="A546" s="23" t="s">
        <v>576</v>
      </c>
      <c r="B546" s="24" t="s">
        <v>7</v>
      </c>
      <c r="C546" s="24" t="s">
        <v>172</v>
      </c>
      <c r="D546" s="7">
        <v>162138</v>
      </c>
      <c r="E546" s="24" t="s">
        <v>9</v>
      </c>
    </row>
    <row r="547" spans="1:5" ht="15">
      <c r="A547" s="23" t="s">
        <v>577</v>
      </c>
      <c r="B547" s="24" t="s">
        <v>7</v>
      </c>
      <c r="C547" s="24" t="s">
        <v>172</v>
      </c>
      <c r="D547" s="7">
        <v>243311</v>
      </c>
      <c r="E547" s="24" t="s">
        <v>16</v>
      </c>
    </row>
    <row r="548" spans="1:5" ht="15">
      <c r="A548" s="23" t="s">
        <v>578</v>
      </c>
      <c r="B548" s="24" t="s">
        <v>7</v>
      </c>
      <c r="C548" s="24" t="s">
        <v>172</v>
      </c>
      <c r="D548" s="7">
        <v>85907</v>
      </c>
      <c r="E548" s="24" t="s">
        <v>12</v>
      </c>
    </row>
    <row r="549" spans="1:5" ht="15">
      <c r="A549" s="23" t="s">
        <v>579</v>
      </c>
      <c r="B549" s="24" t="s">
        <v>11</v>
      </c>
      <c r="C549" s="24" t="s">
        <v>172</v>
      </c>
      <c r="D549" s="7">
        <v>144513</v>
      </c>
      <c r="E549" s="24" t="s">
        <v>9</v>
      </c>
    </row>
    <row r="550" spans="1:5" ht="15">
      <c r="A550" s="23" t="s">
        <v>580</v>
      </c>
      <c r="B550" s="24" t="s">
        <v>7</v>
      </c>
      <c r="C550" s="24" t="s">
        <v>172</v>
      </c>
      <c r="D550" s="7">
        <v>151028</v>
      </c>
      <c r="E550" s="24" t="s">
        <v>9</v>
      </c>
    </row>
    <row r="551" spans="1:5" ht="15">
      <c r="A551" s="23" t="s">
        <v>581</v>
      </c>
      <c r="B551" s="24" t="s">
        <v>11</v>
      </c>
      <c r="C551" s="24" t="s">
        <v>172</v>
      </c>
      <c r="D551" s="7">
        <v>14804</v>
      </c>
      <c r="E551" s="24" t="s">
        <v>12</v>
      </c>
    </row>
    <row r="552" spans="1:5" ht="15">
      <c r="A552" s="23" t="s">
        <v>582</v>
      </c>
      <c r="B552" s="24" t="s">
        <v>7</v>
      </c>
      <c r="C552" s="24" t="s">
        <v>172</v>
      </c>
      <c r="D552" s="7">
        <v>224643</v>
      </c>
      <c r="E552" s="24" t="s">
        <v>12</v>
      </c>
    </row>
    <row r="553" spans="1:5" ht="15">
      <c r="A553" s="23" t="s">
        <v>583</v>
      </c>
      <c r="B553" s="24" t="s">
        <v>7</v>
      </c>
      <c r="C553" s="24" t="s">
        <v>172</v>
      </c>
      <c r="D553" s="7">
        <v>73251</v>
      </c>
      <c r="E553" s="24" t="s">
        <v>12</v>
      </c>
    </row>
    <row r="554" spans="1:5" ht="15">
      <c r="A554" s="23" t="s">
        <v>584</v>
      </c>
      <c r="B554" s="24" t="s">
        <v>7</v>
      </c>
      <c r="C554" s="24" t="s">
        <v>172</v>
      </c>
      <c r="D554" s="7">
        <v>277374</v>
      </c>
      <c r="E554" s="24" t="s">
        <v>12</v>
      </c>
    </row>
    <row r="555" spans="1:5" ht="15">
      <c r="A555" s="23" t="s">
        <v>585</v>
      </c>
      <c r="B555" s="24" t="s">
        <v>7</v>
      </c>
      <c r="C555" s="24" t="s">
        <v>172</v>
      </c>
      <c r="D555" s="7">
        <v>262571</v>
      </c>
      <c r="E555" s="24" t="s">
        <v>12</v>
      </c>
    </row>
    <row r="556" spans="1:5" ht="15">
      <c r="A556" s="23" t="s">
        <v>586</v>
      </c>
      <c r="B556" s="24" t="s">
        <v>7</v>
      </c>
      <c r="C556" s="24" t="s">
        <v>172</v>
      </c>
      <c r="D556" s="7">
        <v>253957</v>
      </c>
      <c r="E556" s="24" t="s">
        <v>16</v>
      </c>
    </row>
    <row r="557" spans="1:5" ht="15">
      <c r="A557" s="23" t="s">
        <v>587</v>
      </c>
      <c r="B557" s="24" t="s">
        <v>7</v>
      </c>
      <c r="C557" s="24" t="s">
        <v>172</v>
      </c>
      <c r="D557" s="7">
        <v>76489</v>
      </c>
      <c r="E557" s="24" t="s">
        <v>12</v>
      </c>
    </row>
    <row r="558" spans="1:5" ht="15">
      <c r="A558" s="23" t="s">
        <v>588</v>
      </c>
      <c r="B558" s="24" t="s">
        <v>7</v>
      </c>
      <c r="C558" s="24" t="s">
        <v>172</v>
      </c>
      <c r="D558" s="7">
        <v>219808</v>
      </c>
      <c r="E558" s="24" t="s">
        <v>16</v>
      </c>
    </row>
    <row r="559" spans="1:5" ht="15">
      <c r="A559" s="23" t="s">
        <v>589</v>
      </c>
      <c r="B559" s="24" t="s">
        <v>7</v>
      </c>
      <c r="C559" s="24" t="s">
        <v>172</v>
      </c>
      <c r="D559" s="7">
        <v>174261</v>
      </c>
      <c r="E559" s="24" t="s">
        <v>12</v>
      </c>
    </row>
    <row r="560" spans="1:5" ht="15">
      <c r="A560" s="23" t="s">
        <v>590</v>
      </c>
      <c r="B560" s="24" t="s">
        <v>7</v>
      </c>
      <c r="C560" s="24" t="s">
        <v>172</v>
      </c>
      <c r="D560" s="7">
        <v>292358</v>
      </c>
      <c r="E560" s="24" t="s">
        <v>12</v>
      </c>
    </row>
    <row r="561" spans="1:5" ht="15">
      <c r="A561" s="23" t="s">
        <v>591</v>
      </c>
      <c r="B561" s="24" t="s">
        <v>7</v>
      </c>
      <c r="C561" s="24" t="s">
        <v>172</v>
      </c>
      <c r="D561" s="7">
        <v>157277</v>
      </c>
      <c r="E561" s="24" t="s">
        <v>16</v>
      </c>
    </row>
    <row r="562" spans="1:5" ht="15">
      <c r="A562" s="23" t="s">
        <v>592</v>
      </c>
      <c r="B562" s="24" t="s">
        <v>7</v>
      </c>
      <c r="C562" s="24" t="s">
        <v>172</v>
      </c>
      <c r="D562" s="7">
        <v>170260</v>
      </c>
      <c r="E562" s="24" t="s">
        <v>16</v>
      </c>
    </row>
    <row r="563" spans="1:5" ht="15">
      <c r="A563" s="23" t="s">
        <v>593</v>
      </c>
      <c r="B563" s="24" t="s">
        <v>7</v>
      </c>
      <c r="C563" s="24" t="s">
        <v>172</v>
      </c>
      <c r="D563" s="7">
        <v>92236</v>
      </c>
      <c r="E563" s="24" t="s">
        <v>12</v>
      </c>
    </row>
    <row r="564" spans="1:5" ht="15">
      <c r="A564" s="23" t="s">
        <v>594</v>
      </c>
      <c r="B564" s="24" t="s">
        <v>7</v>
      </c>
      <c r="C564" s="24" t="s">
        <v>172</v>
      </c>
      <c r="D564" s="7">
        <v>265985</v>
      </c>
      <c r="E564" s="24" t="s">
        <v>16</v>
      </c>
    </row>
    <row r="565" spans="1:5" ht="15">
      <c r="A565" s="23" t="s">
        <v>595</v>
      </c>
      <c r="B565" s="24" t="s">
        <v>7</v>
      </c>
      <c r="C565" s="24" t="s">
        <v>172</v>
      </c>
      <c r="D565" s="7">
        <v>137688</v>
      </c>
      <c r="E565" s="24" t="s">
        <v>9</v>
      </c>
    </row>
    <row r="566" spans="1:5" ht="15">
      <c r="A566" s="23" t="s">
        <v>596</v>
      </c>
      <c r="B566" s="24" t="s">
        <v>25</v>
      </c>
      <c r="C566" s="24" t="s">
        <v>172</v>
      </c>
      <c r="D566" s="7">
        <v>26989</v>
      </c>
      <c r="E566" s="24" t="s">
        <v>16</v>
      </c>
    </row>
    <row r="567" spans="1:5" ht="15">
      <c r="A567" s="23" t="s">
        <v>597</v>
      </c>
      <c r="B567" s="24" t="s">
        <v>11</v>
      </c>
      <c r="C567" s="24" t="s">
        <v>172</v>
      </c>
      <c r="D567" s="7">
        <v>123754</v>
      </c>
      <c r="E567" s="24" t="s">
        <v>9</v>
      </c>
    </row>
    <row r="568" spans="1:5" ht="15">
      <c r="A568" s="23" t="s">
        <v>598</v>
      </c>
      <c r="B568" s="24" t="s">
        <v>25</v>
      </c>
      <c r="C568" s="24" t="s">
        <v>172</v>
      </c>
      <c r="D568" s="7">
        <v>7599</v>
      </c>
      <c r="E568" s="24" t="s">
        <v>9</v>
      </c>
    </row>
    <row r="569" spans="1:5" ht="15">
      <c r="A569" s="23" t="s">
        <v>599</v>
      </c>
      <c r="B569" s="24" t="s">
        <v>7</v>
      </c>
      <c r="C569" s="24" t="s">
        <v>172</v>
      </c>
      <c r="D569" s="7">
        <v>54543</v>
      </c>
      <c r="E569" s="24" t="s">
        <v>9</v>
      </c>
    </row>
    <row r="570" spans="1:5" ht="15">
      <c r="A570" s="23" t="s">
        <v>600</v>
      </c>
      <c r="B570" s="24" t="s">
        <v>7</v>
      </c>
      <c r="C570" s="24" t="s">
        <v>172</v>
      </c>
      <c r="D570" s="7">
        <v>224027</v>
      </c>
      <c r="E570" s="24" t="s">
        <v>12</v>
      </c>
    </row>
    <row r="571" spans="1:5" ht="15">
      <c r="A571" s="23" t="s">
        <v>601</v>
      </c>
      <c r="B571" s="24" t="s">
        <v>7</v>
      </c>
      <c r="C571" s="24" t="s">
        <v>172</v>
      </c>
      <c r="D571" s="7">
        <v>178861</v>
      </c>
      <c r="E571" s="24" t="s">
        <v>9</v>
      </c>
    </row>
    <row r="572" spans="1:5" ht="15">
      <c r="A572" s="23" t="s">
        <v>602</v>
      </c>
      <c r="B572" s="24" t="s">
        <v>7</v>
      </c>
      <c r="C572" s="24" t="s">
        <v>172</v>
      </c>
      <c r="D572" s="7">
        <v>145446</v>
      </c>
      <c r="E572" s="24" t="s">
        <v>12</v>
      </c>
    </row>
    <row r="573" spans="1:5" ht="15">
      <c r="A573" s="23" t="s">
        <v>603</v>
      </c>
      <c r="B573" s="24" t="s">
        <v>11</v>
      </c>
      <c r="C573" s="24" t="s">
        <v>172</v>
      </c>
      <c r="D573" s="7">
        <v>135236</v>
      </c>
      <c r="E573" s="24" t="s">
        <v>16</v>
      </c>
    </row>
    <row r="574" spans="1:5" ht="15">
      <c r="A574" s="23" t="s">
        <v>604</v>
      </c>
      <c r="B574" s="24" t="s">
        <v>7</v>
      </c>
      <c r="C574" s="24" t="s">
        <v>172</v>
      </c>
      <c r="D574" s="7">
        <v>137691</v>
      </c>
      <c r="E574" s="24" t="s">
        <v>9</v>
      </c>
    </row>
    <row r="575" spans="1:5" ht="15">
      <c r="A575" s="23" t="s">
        <v>605</v>
      </c>
      <c r="B575" s="24" t="s">
        <v>11</v>
      </c>
      <c r="C575" s="24" t="s">
        <v>172</v>
      </c>
      <c r="D575" s="7">
        <v>123572</v>
      </c>
      <c r="E575" s="24" t="s">
        <v>12</v>
      </c>
    </row>
    <row r="576" spans="1:5" ht="15">
      <c r="A576" s="23" t="s">
        <v>606</v>
      </c>
      <c r="B576" s="24" t="s">
        <v>7</v>
      </c>
      <c r="C576" s="24" t="s">
        <v>172</v>
      </c>
      <c r="D576" s="7">
        <v>86642</v>
      </c>
      <c r="E576" s="24" t="s">
        <v>12</v>
      </c>
    </row>
    <row r="577" spans="1:5" ht="15">
      <c r="A577" s="23" t="s">
        <v>607</v>
      </c>
      <c r="B577" s="24" t="s">
        <v>7</v>
      </c>
      <c r="C577" s="24" t="s">
        <v>172</v>
      </c>
      <c r="D577" s="7">
        <v>137715</v>
      </c>
      <c r="E577" s="24" t="s">
        <v>12</v>
      </c>
    </row>
    <row r="578" spans="1:5" ht="15">
      <c r="A578" s="23" t="s">
        <v>608</v>
      </c>
      <c r="B578" s="24" t="s">
        <v>7</v>
      </c>
      <c r="C578" s="24" t="s">
        <v>172</v>
      </c>
      <c r="D578" s="7">
        <v>275603</v>
      </c>
      <c r="E578" s="24" t="s">
        <v>16</v>
      </c>
    </row>
    <row r="579" spans="1:5" ht="15">
      <c r="A579" s="23" t="s">
        <v>609</v>
      </c>
      <c r="B579" s="24" t="s">
        <v>7</v>
      </c>
      <c r="C579" s="24" t="s">
        <v>172</v>
      </c>
      <c r="D579" s="7">
        <v>284337</v>
      </c>
      <c r="E579" s="24" t="s">
        <v>16</v>
      </c>
    </row>
    <row r="580" spans="1:5" ht="15">
      <c r="A580" s="23" t="s">
        <v>610</v>
      </c>
      <c r="B580" s="24" t="s">
        <v>7</v>
      </c>
      <c r="C580" s="24" t="s">
        <v>172</v>
      </c>
      <c r="D580" s="7">
        <v>25496</v>
      </c>
      <c r="E580" s="24" t="s">
        <v>16</v>
      </c>
    </row>
    <row r="581" spans="1:5" ht="15">
      <c r="A581" s="23" t="s">
        <v>611</v>
      </c>
      <c r="B581" s="24" t="s">
        <v>7</v>
      </c>
      <c r="C581" s="24" t="s">
        <v>172</v>
      </c>
      <c r="D581" s="7">
        <v>85458</v>
      </c>
      <c r="E581" s="24" t="s">
        <v>12</v>
      </c>
    </row>
    <row r="582" spans="1:5" ht="15">
      <c r="A582" s="23" t="s">
        <v>612</v>
      </c>
      <c r="B582" s="24" t="s">
        <v>7</v>
      </c>
      <c r="C582" s="24" t="s">
        <v>172</v>
      </c>
      <c r="D582" s="7">
        <v>15235</v>
      </c>
      <c r="E582" s="24" t="s">
        <v>16</v>
      </c>
    </row>
    <row r="583" spans="1:5" ht="15">
      <c r="A583" s="23" t="s">
        <v>613</v>
      </c>
      <c r="B583" s="24" t="s">
        <v>7</v>
      </c>
      <c r="C583" s="24" t="s">
        <v>172</v>
      </c>
      <c r="D583" s="7">
        <v>159928</v>
      </c>
      <c r="E583" s="24" t="s">
        <v>12</v>
      </c>
    </row>
    <row r="584" spans="1:5" ht="15">
      <c r="A584" s="23" t="s">
        <v>614</v>
      </c>
      <c r="B584" s="24" t="s">
        <v>7</v>
      </c>
      <c r="C584" s="24" t="s">
        <v>172</v>
      </c>
      <c r="D584" s="7">
        <v>279663</v>
      </c>
      <c r="E584" s="24" t="s">
        <v>16</v>
      </c>
    </row>
    <row r="585" spans="1:5" ht="15">
      <c r="A585" s="23" t="s">
        <v>615</v>
      </c>
      <c r="B585" s="24" t="s">
        <v>11</v>
      </c>
      <c r="C585" s="24" t="s">
        <v>172</v>
      </c>
      <c r="D585" s="7">
        <v>196925</v>
      </c>
      <c r="E585" s="24" t="s">
        <v>9</v>
      </c>
    </row>
    <row r="586" spans="1:5" ht="15">
      <c r="A586" s="23" t="s">
        <v>616</v>
      </c>
      <c r="B586" s="24" t="s">
        <v>7</v>
      </c>
      <c r="C586" s="24" t="s">
        <v>172</v>
      </c>
      <c r="D586" s="7">
        <v>217528</v>
      </c>
      <c r="E586" s="24" t="s">
        <v>16</v>
      </c>
    </row>
    <row r="587" spans="1:5" ht="15">
      <c r="A587" s="23" t="s">
        <v>617</v>
      </c>
      <c r="B587" s="24" t="s">
        <v>7</v>
      </c>
      <c r="C587" s="24" t="s">
        <v>172</v>
      </c>
      <c r="D587" s="7">
        <v>89050</v>
      </c>
      <c r="E587" s="24" t="s">
        <v>16</v>
      </c>
    </row>
    <row r="588" spans="1:5" ht="15">
      <c r="A588" s="23" t="s">
        <v>618</v>
      </c>
      <c r="B588" s="24" t="s">
        <v>11</v>
      </c>
      <c r="C588" s="24" t="s">
        <v>172</v>
      </c>
      <c r="D588" s="7">
        <v>176489</v>
      </c>
      <c r="E588" s="24" t="s">
        <v>9</v>
      </c>
    </row>
    <row r="589" spans="1:5" ht="15">
      <c r="A589" s="23" t="s">
        <v>619</v>
      </c>
      <c r="B589" s="24" t="s">
        <v>7</v>
      </c>
      <c r="C589" s="24" t="s">
        <v>172</v>
      </c>
      <c r="D589" s="7">
        <v>299491</v>
      </c>
      <c r="E589" s="24" t="s">
        <v>12</v>
      </c>
    </row>
    <row r="590" spans="1:5" ht="15">
      <c r="A590" s="23" t="s">
        <v>620</v>
      </c>
      <c r="B590" s="24" t="s">
        <v>7</v>
      </c>
      <c r="C590" s="24" t="s">
        <v>172</v>
      </c>
      <c r="D590" s="7">
        <v>296475</v>
      </c>
      <c r="E590" s="24" t="s">
        <v>9</v>
      </c>
    </row>
    <row r="591" spans="1:5" ht="15">
      <c r="A591" s="23" t="s">
        <v>621</v>
      </c>
      <c r="B591" s="24" t="s">
        <v>7</v>
      </c>
      <c r="C591" s="24" t="s">
        <v>172</v>
      </c>
      <c r="D591" s="7">
        <v>85865</v>
      </c>
      <c r="E591" s="24" t="s">
        <v>9</v>
      </c>
    </row>
    <row r="592" spans="1:5" ht="15">
      <c r="A592" s="23" t="s">
        <v>622</v>
      </c>
      <c r="B592" s="24" t="s">
        <v>7</v>
      </c>
      <c r="C592" s="24" t="s">
        <v>172</v>
      </c>
      <c r="D592" s="7">
        <v>178244</v>
      </c>
      <c r="E592" s="24" t="s">
        <v>9</v>
      </c>
    </row>
    <row r="593" spans="1:5" ht="15">
      <c r="A593" s="23" t="s">
        <v>623</v>
      </c>
      <c r="B593" s="24" t="s">
        <v>7</v>
      </c>
      <c r="C593" s="24" t="s">
        <v>172</v>
      </c>
      <c r="D593" s="7">
        <v>130281</v>
      </c>
      <c r="E593" s="24" t="s">
        <v>16</v>
      </c>
    </row>
    <row r="594" spans="1:5" ht="15">
      <c r="A594" s="23" t="s">
        <v>624</v>
      </c>
      <c r="B594" s="24" t="s">
        <v>7</v>
      </c>
      <c r="C594" s="24" t="s">
        <v>172</v>
      </c>
      <c r="D594" s="7">
        <v>277839</v>
      </c>
      <c r="E594" s="24" t="s">
        <v>12</v>
      </c>
    </row>
    <row r="595" spans="1:5" ht="15">
      <c r="A595" s="23" t="s">
        <v>625</v>
      </c>
      <c r="B595" s="24" t="s">
        <v>25</v>
      </c>
      <c r="C595" s="24" t="s">
        <v>172</v>
      </c>
      <c r="D595" s="7">
        <v>191529</v>
      </c>
      <c r="E595" s="24" t="s">
        <v>16</v>
      </c>
    </row>
    <row r="596" spans="1:5" ht="15">
      <c r="A596" s="23" t="s">
        <v>626</v>
      </c>
      <c r="B596" s="24" t="s">
        <v>7</v>
      </c>
      <c r="C596" s="24" t="s">
        <v>172</v>
      </c>
      <c r="D596" s="7">
        <v>148063</v>
      </c>
      <c r="E596" s="24" t="s">
        <v>16</v>
      </c>
    </row>
    <row r="597" spans="1:5" ht="15">
      <c r="A597" s="23" t="s">
        <v>627</v>
      </c>
      <c r="B597" s="24" t="s">
        <v>11</v>
      </c>
      <c r="C597" s="24" t="s">
        <v>172</v>
      </c>
      <c r="D597" s="7">
        <v>160602</v>
      </c>
      <c r="E597" s="24" t="s">
        <v>12</v>
      </c>
    </row>
    <row r="598" spans="1:5" ht="15">
      <c r="A598" s="23" t="s">
        <v>628</v>
      </c>
      <c r="B598" s="24" t="s">
        <v>7</v>
      </c>
      <c r="C598" s="24" t="s">
        <v>172</v>
      </c>
      <c r="D598" s="7">
        <v>229262</v>
      </c>
      <c r="E598" s="24" t="s">
        <v>9</v>
      </c>
    </row>
    <row r="599" spans="1:5" ht="15">
      <c r="A599" s="23" t="s">
        <v>629</v>
      </c>
      <c r="B599" s="24" t="s">
        <v>7</v>
      </c>
      <c r="C599" s="24" t="s">
        <v>172</v>
      </c>
      <c r="D599" s="7">
        <v>297506</v>
      </c>
      <c r="E599" s="24" t="s">
        <v>16</v>
      </c>
    </row>
    <row r="600" spans="1:5" ht="15">
      <c r="A600" s="23" t="s">
        <v>630</v>
      </c>
      <c r="B600" s="24" t="s">
        <v>7</v>
      </c>
      <c r="C600" s="24" t="s">
        <v>172</v>
      </c>
      <c r="D600" s="7">
        <v>218522</v>
      </c>
      <c r="E600" s="24" t="s">
        <v>16</v>
      </c>
    </row>
    <row r="601" spans="1:5" ht="15">
      <c r="A601" s="23" t="s">
        <v>631</v>
      </c>
      <c r="B601" s="24" t="s">
        <v>7</v>
      </c>
      <c r="C601" s="24" t="s">
        <v>172</v>
      </c>
      <c r="D601" s="7">
        <v>36797</v>
      </c>
      <c r="E601" s="24" t="s">
        <v>16</v>
      </c>
    </row>
    <row r="602" spans="1:5" ht="15">
      <c r="A602" s="23" t="s">
        <v>632</v>
      </c>
      <c r="B602" s="24" t="s">
        <v>7</v>
      </c>
      <c r="C602" s="24" t="s">
        <v>172</v>
      </c>
      <c r="D602" s="7">
        <v>290039</v>
      </c>
      <c r="E602" s="24" t="s">
        <v>9</v>
      </c>
    </row>
    <row r="603" spans="1:5" ht="15">
      <c r="A603" s="23" t="s">
        <v>633</v>
      </c>
      <c r="B603" s="24" t="s">
        <v>7</v>
      </c>
      <c r="C603" s="24" t="s">
        <v>172</v>
      </c>
      <c r="D603" s="7">
        <v>276041</v>
      </c>
      <c r="E603" s="24" t="s">
        <v>9</v>
      </c>
    </row>
    <row r="604" spans="1:5" ht="15">
      <c r="A604" s="23" t="s">
        <v>634</v>
      </c>
      <c r="B604" s="24" t="s">
        <v>11</v>
      </c>
      <c r="C604" s="24" t="s">
        <v>172</v>
      </c>
      <c r="D604" s="7">
        <v>31695</v>
      </c>
      <c r="E604" s="24" t="s">
        <v>16</v>
      </c>
    </row>
    <row r="605" spans="1:5" ht="15">
      <c r="A605" s="23" t="s">
        <v>635</v>
      </c>
      <c r="B605" s="24" t="s">
        <v>7</v>
      </c>
      <c r="C605" s="24" t="s">
        <v>172</v>
      </c>
      <c r="D605" s="7">
        <v>108424</v>
      </c>
      <c r="E605" s="24" t="s">
        <v>16</v>
      </c>
    </row>
    <row r="606" spans="1:5" ht="15">
      <c r="A606" s="23" t="s">
        <v>636</v>
      </c>
      <c r="B606" s="24" t="s">
        <v>11</v>
      </c>
      <c r="C606" s="24" t="s">
        <v>172</v>
      </c>
      <c r="D606" s="7">
        <v>271697</v>
      </c>
      <c r="E606" s="24" t="s">
        <v>9</v>
      </c>
    </row>
    <row r="607" spans="1:5" ht="15">
      <c r="A607" s="25" t="s">
        <v>637</v>
      </c>
      <c r="B607" s="26" t="s">
        <v>11</v>
      </c>
      <c r="C607" s="24" t="s">
        <v>172</v>
      </c>
      <c r="D607" s="8">
        <v>204627</v>
      </c>
      <c r="E607" s="2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Overview</vt:lpstr>
      <vt:lpstr>Raw_Data_Analysis</vt:lpstr>
      <vt:lpstr>Clean Data Summary</vt:lpstr>
      <vt:lpstr>Clean Data Only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Arthur Martins</cp:lastModifiedBy>
  <dcterms:modified xsi:type="dcterms:W3CDTF">2026-04-26T09:06:26Z</dcterms:modified>
</cp:coreProperties>
</file>